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owastate-my.sharepoint.com/personal/errthumt_iastate_edu/Documents/Research/Toolkit/"/>
    </mc:Choice>
  </mc:AlternateContent>
  <xr:revisionPtr revIDLastSave="44" documentId="8_{567BC5EF-0FEB-4A8F-8980-0D13B3C5B066}" xr6:coauthVersionLast="47" xr6:coauthVersionMax="47" xr10:uidLastSave="{29C55D40-4CDB-4750-A3F8-C31E75CE6D6D}"/>
  <bookViews>
    <workbookView xWindow="-120" yWindow="-120" windowWidth="29040" windowHeight="15720" activeTab="3" xr2:uid="{00000000-000D-0000-FFFF-FFFF00000000}"/>
  </bookViews>
  <sheets>
    <sheet name="Calculate" sheetId="2" r:id="rId1"/>
    <sheet name="Interpolation" sheetId="5" r:id="rId2"/>
    <sheet name="Template" sheetId="7" r:id="rId3"/>
    <sheet name="25" sheetId="6" r:id="rId4"/>
    <sheet name="32" sheetId="8" r:id="rId5"/>
    <sheet name="35" sheetId="9" r:id="rId6"/>
    <sheet name="33" sheetId="10" r:id="rId7"/>
    <sheet name="20" sheetId="11" r:id="rId8"/>
  </sheets>
  <definedNames>
    <definedName name="actHead" localSheetId="7">furnace20[[#Headers],[Actual (°C)]]</definedName>
    <definedName name="actHead">furnace00[[#Headers],[Actual (°C)]]</definedName>
    <definedName name="intercept">Calculate!$I$2</definedName>
    <definedName name="_xlnm.Print_Area" localSheetId="7">'20'!$A$1:$I$43</definedName>
    <definedName name="_xlnm.Print_Area" localSheetId="2">Template!$A$1:$I$43</definedName>
    <definedName name="setHead" localSheetId="7">furnace20[[#Headers],[Set (°C)]]</definedName>
    <definedName name="setHead">furnace00[[#Headers],[Set (°C)]]</definedName>
    <definedName name="slope">Calculate!$H$2</definedName>
    <definedName name="tempSeries">_xlfn.ANCHORARRAY(Calculate!$P$3)</definedName>
    <definedName name="timeSeries">_xlfn.ANCHORARRAY(Calculate!$O$3)</definedName>
    <definedName name="useEq">Calculate!$G$2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P3" i="2" a="1"/>
  <c r="P3" i="2" s="1"/>
  <c r="O3" i="2" a="1"/>
  <c r="O3" i="2" s="1"/>
  <c r="L3" i="2" s="1" a="1"/>
  <c r="L3" i="2" s="1"/>
  <c r="B22" i="5"/>
  <c r="B24" i="5"/>
  <c r="B2" i="5"/>
  <c r="B37" i="5"/>
  <c r="C12" i="5"/>
  <c r="G4" i="2" a="1"/>
  <c r="B3" i="5"/>
  <c r="B34" i="5"/>
  <c r="C3" i="5"/>
  <c r="C10" i="5"/>
  <c r="C2" i="5"/>
  <c r="C35" i="5"/>
  <c r="C41" i="5"/>
  <c r="I4" i="2" a="1"/>
  <c r="C22" i="5"/>
  <c r="B25" i="5"/>
  <c r="C13" i="5"/>
  <c r="C18" i="5"/>
  <c r="B31" i="5"/>
  <c r="C30" i="5"/>
  <c r="B27" i="5"/>
  <c r="B32" i="5"/>
  <c r="C5" i="5"/>
  <c r="B21" i="5"/>
  <c r="B13" i="5"/>
  <c r="B5" i="5"/>
  <c r="H4" i="2" a="1"/>
  <c r="B18" i="5"/>
  <c r="B38" i="5"/>
  <c r="B10" i="5"/>
  <c r="B35" i="5"/>
  <c r="B20" i="5"/>
  <c r="C33" i="5"/>
  <c r="C11" i="5"/>
  <c r="B40" i="5"/>
  <c r="C15" i="5"/>
  <c r="C27" i="5"/>
  <c r="B41" i="5"/>
  <c r="B15" i="5"/>
  <c r="B36" i="5"/>
  <c r="C23" i="5"/>
  <c r="C20" i="5"/>
  <c r="C28" i="5"/>
  <c r="B30" i="5"/>
  <c r="C21" i="5"/>
  <c r="B14" i="5"/>
  <c r="C8" i="5"/>
  <c r="C25" i="5"/>
  <c r="F5" i="2" a="1"/>
  <c r="C37" i="5"/>
  <c r="B16" i="5"/>
  <c r="C29" i="5"/>
  <c r="C34" i="5"/>
  <c r="C14" i="5"/>
  <c r="B39" i="5"/>
  <c r="B17" i="5"/>
  <c r="B7" i="5"/>
  <c r="B4" i="5"/>
  <c r="C38" i="5"/>
  <c r="C17" i="5"/>
  <c r="C9" i="5"/>
  <c r="C31" i="5"/>
  <c r="H5" i="2" a="1"/>
  <c r="C7" i="5"/>
  <c r="C19" i="5"/>
  <c r="B33" i="5"/>
  <c r="C24" i="5"/>
  <c r="C6" i="5"/>
  <c r="B9" i="5"/>
  <c r="G5" i="2" a="1"/>
  <c r="C4" i="5"/>
  <c r="B26" i="5"/>
  <c r="B12" i="5"/>
  <c r="F4" i="2" a="1"/>
  <c r="B29" i="5"/>
  <c r="C40" i="5"/>
  <c r="C36" i="5"/>
  <c r="C16" i="5"/>
  <c r="B6" i="5"/>
  <c r="I5" i="2" a="1"/>
  <c r="C39" i="5"/>
  <c r="B19" i="5"/>
  <c r="B28" i="5"/>
  <c r="B23" i="5"/>
  <c r="C32" i="5"/>
  <c r="C26" i="5"/>
  <c r="B11" i="5"/>
  <c r="B8" i="5"/>
  <c r="I5" i="2" l="1"/>
  <c r="H5" i="2"/>
  <c r="F5" i="2"/>
  <c r="G5" i="2"/>
  <c r="H2" i="2"/>
  <c r="I2" i="2"/>
  <c r="I4" i="2"/>
  <c r="H4" i="2"/>
  <c r="G4" i="2"/>
  <c r="F4" i="2"/>
  <c r="L4" i="2" a="1"/>
  <c r="L4" i="2" s="1"/>
  <c r="L7" i="2" s="1"/>
  <c r="M7" i="2" s="1"/>
  <c r="D4" i="2" l="1"/>
  <c r="E4" i="2" s="1"/>
  <c r="D5" i="2"/>
  <c r="E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<sst xmlns="http://schemas.openxmlformats.org/spreadsheetml/2006/main" count="92" uniqueCount="35">
  <si>
    <t>Set (°C)</t>
  </si>
  <si>
    <t>Actual (°C)</t>
  </si>
  <si>
    <t>Program</t>
  </si>
  <si>
    <t>Furnace</t>
  </si>
  <si>
    <t>Time (hr)</t>
  </si>
  <si>
    <t>Ramp</t>
  </si>
  <si>
    <r>
      <t>Temp (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C)</t>
    </r>
  </si>
  <si>
    <t>Actual Temp (°C)</t>
  </si>
  <si>
    <t>Set Temp (°C)</t>
  </si>
  <si>
    <t>Ramp Rate (°C/hr)</t>
  </si>
  <si>
    <t>Start Temp (°C)</t>
  </si>
  <si>
    <t>Cooling Start</t>
  </si>
  <si>
    <t>Days</t>
  </si>
  <si>
    <t>Hours</t>
  </si>
  <si>
    <t>Slope</t>
  </si>
  <si>
    <t>Intercept</t>
  </si>
  <si>
    <t>2-point? (Y/N)</t>
  </si>
  <si>
    <t>N</t>
  </si>
  <si>
    <t>2-point interpolation may be preferred if there appears to be multiple sections of the plot with different slopes</t>
  </si>
  <si>
    <t>Furnace 25</t>
  </si>
  <si>
    <t>As of</t>
  </si>
  <si>
    <t>Furnace 32</t>
  </si>
  <si>
    <t>Furnace 35</t>
  </si>
  <si>
    <t>Start</t>
  </si>
  <si>
    <t>End</t>
  </si>
  <si>
    <t>Furnace #</t>
  </si>
  <si>
    <t>Furnace 33</t>
  </si>
  <si>
    <t>Y</t>
  </si>
  <si>
    <t>Act1</t>
  </si>
  <si>
    <t>Act2</t>
  </si>
  <si>
    <t>Set1</t>
  </si>
  <si>
    <t>Set2</t>
  </si>
  <si>
    <t>Use Eq?</t>
  </si>
  <si>
    <t>Furnace #20</t>
  </si>
  <si>
    <t>Dwell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</si>
</sst>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h:m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6" fillId="5" borderId="1" applyNumberFormat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/>
    </xf>
    <xf numFmtId="0" fontId="1" fillId="2" borderId="1" xfId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164" fontId="1" fillId="2" borderId="1" xfId="1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18" fontId="0" fillId="0" borderId="0" xfId="0" applyNumberFormat="1"/>
    <xf numFmtId="165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5" fontId="1" fillId="2" borderId="1" xfId="1" applyNumberFormat="1" applyAlignment="1">
      <alignment horizontal="center" vertical="center"/>
    </xf>
    <xf numFmtId="166" fontId="1" fillId="2" borderId="1" xfId="1" applyNumberFormat="1" applyAlignment="1">
      <alignment horizontal="center" vertical="center"/>
    </xf>
    <xf numFmtId="0" fontId="6" fillId="5" borderId="1" xfId="2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3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3">
    <cellStyle name="Calculation" xfId="2" builtinId="22"/>
    <cellStyle name="Input" xfId="1" builtinId="20"/>
    <cellStyle name="Normal" xfId="0" builtinId="0"/>
  </cellStyles>
  <dxfs count="13">
    <dxf>
      <font>
        <color theme="1"/>
      </font>
      <fill>
        <patternFill>
          <bgColor theme="1"/>
        </patternFill>
      </fill>
    </dxf>
    <dxf>
      <numFmt numFmtId="164" formatCode="0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v.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[0]!timeSeries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72</c:v>
                </c:pt>
              </c:numCache>
            </c:numRef>
          </c:xVal>
          <c:yVal>
            <c:numRef>
              <c:f>[0]!tempSeries</c:f>
              <c:numCache>
                <c:formatCode>General</c:formatCode>
                <c:ptCount val="3"/>
                <c:pt idx="0">
                  <c:v>25</c:v>
                </c:pt>
                <c:pt idx="1">
                  <c:v>600</c:v>
                </c:pt>
                <c:pt idx="2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D-4F96-9A0D-10D85CF74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697376"/>
        <c:axId val="1884697856"/>
      </c:scatterChart>
      <c:valAx>
        <c:axId val="188469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97856"/>
        <c:crosses val="autoZero"/>
        <c:crossBetween val="midCat"/>
      </c:valAx>
      <c:valAx>
        <c:axId val="188469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9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Trendline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73085379121629"/>
                  <c:y val="-4.52381031180165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Template!$A$2:$A$16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xVal>
          <c:yVal>
            <c:numRef>
              <c:f>Template!$B$2:$B$16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78-4894-8515-E16DC865F784}"/>
            </c:ext>
          </c:extLst>
        </c:ser>
        <c:ser>
          <c:idx val="1"/>
          <c:order val="1"/>
          <c:tx>
            <c:v>Set</c:v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Template!$A$2:$A$16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xVal>
          <c:yVal>
            <c:numRef>
              <c:f>Template!$A$2:$A$16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78-4894-8515-E16DC865F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90863"/>
        <c:axId val="1056792783"/>
      </c:scatterChart>
      <c:valAx>
        <c:axId val="105679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/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2783"/>
        <c:crosses val="autoZero"/>
        <c:crossBetween val="midCat"/>
      </c:valAx>
      <c:valAx>
        <c:axId val="10567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Trendline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73085379121629"/>
                  <c:y val="-4.52381031180165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'25'!$A$2:$A$16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xVal>
          <c:yVal>
            <c:numRef>
              <c:f>'25'!$B$2:$B$16</c:f>
              <c:numCache>
                <c:formatCode>General</c:formatCode>
                <c:ptCount val="15"/>
                <c:pt idx="0">
                  <c:v>301.39999999999998</c:v>
                </c:pt>
                <c:pt idx="1">
                  <c:v>410</c:v>
                </c:pt>
                <c:pt idx="2">
                  <c:v>513.9</c:v>
                </c:pt>
                <c:pt idx="3">
                  <c:v>566.6</c:v>
                </c:pt>
                <c:pt idx="4">
                  <c:v>615.6</c:v>
                </c:pt>
                <c:pt idx="5">
                  <c:v>667.1</c:v>
                </c:pt>
                <c:pt idx="6">
                  <c:v>718.3</c:v>
                </c:pt>
                <c:pt idx="7">
                  <c:v>770.8</c:v>
                </c:pt>
                <c:pt idx="8">
                  <c:v>820.7</c:v>
                </c:pt>
                <c:pt idx="9">
                  <c:v>872.2</c:v>
                </c:pt>
                <c:pt idx="10">
                  <c:v>923.2</c:v>
                </c:pt>
                <c:pt idx="11">
                  <c:v>975.2</c:v>
                </c:pt>
                <c:pt idx="12">
                  <c:v>1025.5999999999999</c:v>
                </c:pt>
                <c:pt idx="13">
                  <c:v>1079.0999999999999</c:v>
                </c:pt>
                <c:pt idx="14">
                  <c:v>1132.8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F-4B9C-87D6-743E14620D95}"/>
            </c:ext>
          </c:extLst>
        </c:ser>
        <c:ser>
          <c:idx val="1"/>
          <c:order val="1"/>
          <c:tx>
            <c:v>Set</c:v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'25'!$A$2:$A$16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xVal>
          <c:yVal>
            <c:numRef>
              <c:f>'25'!$A$2:$A$16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F-4B9C-87D6-743E14620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90863"/>
        <c:axId val="1056792783"/>
      </c:scatterChart>
      <c:valAx>
        <c:axId val="105679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/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2783"/>
        <c:crosses val="autoZero"/>
        <c:crossBetween val="midCat"/>
      </c:valAx>
      <c:valAx>
        <c:axId val="10567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Trendline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73085379121629"/>
                  <c:y val="-4.52381031180165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'32'!$A$2:$A$16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'32'!$B$2:$B$16</c:f>
              <c:numCache>
                <c:formatCode>General</c:formatCode>
                <c:ptCount val="15"/>
                <c:pt idx="0">
                  <c:v>102.5</c:v>
                </c:pt>
                <c:pt idx="1">
                  <c:v>202</c:v>
                </c:pt>
                <c:pt idx="2">
                  <c:v>299.39999999999998</c:v>
                </c:pt>
                <c:pt idx="3">
                  <c:v>392</c:v>
                </c:pt>
                <c:pt idx="4">
                  <c:v>485</c:v>
                </c:pt>
                <c:pt idx="5">
                  <c:v>540.70000000000005</c:v>
                </c:pt>
                <c:pt idx="6">
                  <c:v>589</c:v>
                </c:pt>
                <c:pt idx="7">
                  <c:v>639.79999999999995</c:v>
                </c:pt>
                <c:pt idx="8">
                  <c:v>690</c:v>
                </c:pt>
                <c:pt idx="9">
                  <c:v>737.9</c:v>
                </c:pt>
                <c:pt idx="10">
                  <c:v>785.7</c:v>
                </c:pt>
                <c:pt idx="11">
                  <c:v>831.6</c:v>
                </c:pt>
                <c:pt idx="12">
                  <c:v>884.8</c:v>
                </c:pt>
                <c:pt idx="13">
                  <c:v>933.9</c:v>
                </c:pt>
                <c:pt idx="14">
                  <c:v>985.8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4A-43CD-808D-8833EE60CCA4}"/>
            </c:ext>
          </c:extLst>
        </c:ser>
        <c:ser>
          <c:idx val="1"/>
          <c:order val="1"/>
          <c:tx>
            <c:v>Set</c:v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'32'!$A$2:$A$16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xVal>
          <c:yVal>
            <c:numRef>
              <c:f>'32'!$A$2:$A$16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4A-43CD-808D-8833EE60C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90863"/>
        <c:axId val="1056792783"/>
      </c:scatterChart>
      <c:valAx>
        <c:axId val="105679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/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2783"/>
        <c:crosses val="autoZero"/>
        <c:crossBetween val="midCat"/>
      </c:valAx>
      <c:valAx>
        <c:axId val="10567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Trendline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73085379121629"/>
                  <c:y val="-4.52381031180165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'35'!$A$2:$A$11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'35'!$B$2:$B$11</c:f>
              <c:numCache>
                <c:formatCode>General</c:formatCode>
                <c:ptCount val="10"/>
                <c:pt idx="0">
                  <c:v>101.1</c:v>
                </c:pt>
                <c:pt idx="1">
                  <c:v>200.9</c:v>
                </c:pt>
                <c:pt idx="2">
                  <c:v>303.5</c:v>
                </c:pt>
                <c:pt idx="3">
                  <c:v>408</c:v>
                </c:pt>
                <c:pt idx="4">
                  <c:v>512.29999999999995</c:v>
                </c:pt>
                <c:pt idx="5">
                  <c:v>618</c:v>
                </c:pt>
                <c:pt idx="6">
                  <c:v>722.3</c:v>
                </c:pt>
                <c:pt idx="7">
                  <c:v>826</c:v>
                </c:pt>
                <c:pt idx="8">
                  <c:v>929.6</c:v>
                </c:pt>
                <c:pt idx="9">
                  <c:v>1028.9000000000001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B2-48C3-AF03-372A0713B038}"/>
            </c:ext>
          </c:extLst>
        </c:ser>
        <c:ser>
          <c:idx val="1"/>
          <c:order val="1"/>
          <c:tx>
            <c:v>Set</c:v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'35'!$A$2:$A$11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'35'!$A$2:$A$11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B2-48C3-AF03-372A0713B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90863"/>
        <c:axId val="1056792783"/>
      </c:scatterChart>
      <c:valAx>
        <c:axId val="105679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/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2783"/>
        <c:crosses val="autoZero"/>
        <c:crossBetween val="midCat"/>
      </c:valAx>
      <c:valAx>
        <c:axId val="10567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Trendline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73085379121629"/>
                  <c:y val="-4.52381031180165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'33'!$A$2:$A$16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xVal>
          <c:yVal>
            <c:numRef>
              <c:f>'33'!$B$2:$B$16</c:f>
              <c:numCache>
                <c:formatCode>General</c:formatCode>
                <c:ptCount val="15"/>
                <c:pt idx="0">
                  <c:v>298.8</c:v>
                </c:pt>
                <c:pt idx="1">
                  <c:v>398.3</c:v>
                </c:pt>
                <c:pt idx="2">
                  <c:v>498</c:v>
                </c:pt>
                <c:pt idx="3">
                  <c:v>547</c:v>
                </c:pt>
                <c:pt idx="4">
                  <c:v>596.1</c:v>
                </c:pt>
                <c:pt idx="5">
                  <c:v>644.9</c:v>
                </c:pt>
                <c:pt idx="6">
                  <c:v>693</c:v>
                </c:pt>
                <c:pt idx="7">
                  <c:v>740.6</c:v>
                </c:pt>
                <c:pt idx="8">
                  <c:v>790.3</c:v>
                </c:pt>
                <c:pt idx="9">
                  <c:v>839.7</c:v>
                </c:pt>
                <c:pt idx="10">
                  <c:v>889.4</c:v>
                </c:pt>
                <c:pt idx="11">
                  <c:v>945.6</c:v>
                </c:pt>
                <c:pt idx="12">
                  <c:v>995.5</c:v>
                </c:pt>
                <c:pt idx="13">
                  <c:v>1044.0999999999999</c:v>
                </c:pt>
                <c:pt idx="14">
                  <c:v>1093.3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18-439B-A7AE-8B8A9878BF62}"/>
            </c:ext>
          </c:extLst>
        </c:ser>
        <c:ser>
          <c:idx val="1"/>
          <c:order val="1"/>
          <c:tx>
            <c:v>Set</c:v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'33'!$A$2:$A$16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xVal>
          <c:yVal>
            <c:numRef>
              <c:f>'33'!$A$2:$A$16</c:f>
              <c:numCache>
                <c:formatCode>General</c:formatCode>
                <c:ptCount val="15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  <c:pt idx="12">
                  <c:v>1000</c:v>
                </c:pt>
                <c:pt idx="13">
                  <c:v>1050</c:v>
                </c:pt>
                <c:pt idx="14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18-439B-A7AE-8B8A9878B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90863"/>
        <c:axId val="1056792783"/>
      </c:scatterChart>
      <c:valAx>
        <c:axId val="1056790863"/>
        <c:scaling>
          <c:orientation val="minMax"/>
          <c:max val="1110"/>
          <c:min val="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/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2783"/>
        <c:crosses val="autoZero"/>
        <c:crossBetween val="midCat"/>
      </c:valAx>
      <c:valAx>
        <c:axId val="1056792783"/>
        <c:scaling>
          <c:orientation val="minMax"/>
          <c:max val="1110"/>
          <c:min val="2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Trendline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73085379121629"/>
                  <c:y val="-4.52381031180165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'20'!$A$2:$A$18</c:f>
              <c:numCache>
                <c:formatCode>General</c:formatCode>
                <c:ptCount val="17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</c:numCache>
            </c:numRef>
          </c:xVal>
          <c:yVal>
            <c:numRef>
              <c:f>'20'!$B$2:$B$18</c:f>
              <c:numCache>
                <c:formatCode>General</c:formatCode>
                <c:ptCount val="17"/>
                <c:pt idx="0">
                  <c:v>310.7</c:v>
                </c:pt>
                <c:pt idx="1">
                  <c:v>359.8</c:v>
                </c:pt>
                <c:pt idx="2">
                  <c:v>408.3</c:v>
                </c:pt>
                <c:pt idx="3">
                  <c:v>458</c:v>
                </c:pt>
                <c:pt idx="4">
                  <c:v>508.5</c:v>
                </c:pt>
                <c:pt idx="5">
                  <c:v>558.29999999999995</c:v>
                </c:pt>
                <c:pt idx="6">
                  <c:v>609.1</c:v>
                </c:pt>
                <c:pt idx="7">
                  <c:v>661.9</c:v>
                </c:pt>
                <c:pt idx="8">
                  <c:v>710.6</c:v>
                </c:pt>
                <c:pt idx="9">
                  <c:v>760.9</c:v>
                </c:pt>
                <c:pt idx="10">
                  <c:v>807.9</c:v>
                </c:pt>
                <c:pt idx="11">
                  <c:v>859.3</c:v>
                </c:pt>
                <c:pt idx="12">
                  <c:v>911</c:v>
                </c:pt>
                <c:pt idx="13">
                  <c:v>962.7</c:v>
                </c:pt>
                <c:pt idx="14">
                  <c:v>1013.1</c:v>
                </c:pt>
                <c:pt idx="15">
                  <c:v>1054.3</c:v>
                </c:pt>
                <c:pt idx="16">
                  <c:v>1115.4000000000001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B1-49D7-9062-EBA0E76ADE4E}"/>
            </c:ext>
          </c:extLst>
        </c:ser>
        <c:ser>
          <c:idx val="1"/>
          <c:order val="1"/>
          <c:tx>
            <c:v>Set</c:v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'20'!$A$2:$A$18</c:f>
              <c:numCache>
                <c:formatCode>General</c:formatCode>
                <c:ptCount val="17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</c:numCache>
            </c:numRef>
          </c:xVal>
          <c:yVal>
            <c:numRef>
              <c:f>'20'!$A$2:$A$18</c:f>
              <c:numCache>
                <c:formatCode>General</c:formatCode>
                <c:ptCount val="17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  <c:pt idx="13">
                  <c:v>950</c:v>
                </c:pt>
                <c:pt idx="14">
                  <c:v>1000</c:v>
                </c:pt>
                <c:pt idx="15">
                  <c:v>1050</c:v>
                </c:pt>
                <c:pt idx="16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B1-49D7-9062-EBA0E76AD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90863"/>
        <c:axId val="1056792783"/>
      </c:scatterChart>
      <c:valAx>
        <c:axId val="105679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/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2783"/>
        <c:crosses val="autoZero"/>
        <c:crossBetween val="midCat"/>
      </c:valAx>
      <c:valAx>
        <c:axId val="10567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9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590550</xdr:colOff>
      <xdr:row>1</xdr:row>
      <xdr:rowOff>0</xdr:rowOff>
    </xdr:from>
    <xdr:to>
      <xdr:col>22</xdr:col>
      <xdr:colOff>352425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E535B-00C7-B055-07F4-697E931A4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68261</xdr:colOff>
      <xdr:row>16</xdr:row>
      <xdr:rowOff>190499</xdr:rowOff>
    </xdr:from>
    <xdr:to>
      <xdr:col>8</xdr:col>
      <xdr:colOff>547688</xdr:colOff>
      <xdr:row>42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66B00-3814-46AB-AF96-9D41CADCD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68261</xdr:colOff>
      <xdr:row>16</xdr:row>
      <xdr:rowOff>190499</xdr:rowOff>
    </xdr:from>
    <xdr:to>
      <xdr:col>8</xdr:col>
      <xdr:colOff>547688</xdr:colOff>
      <xdr:row>42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127BF-4821-44CC-A1C5-7E27F6708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68261</xdr:colOff>
      <xdr:row>16</xdr:row>
      <xdr:rowOff>190499</xdr:rowOff>
    </xdr:from>
    <xdr:to>
      <xdr:col>8</xdr:col>
      <xdr:colOff>547688</xdr:colOff>
      <xdr:row>42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482C6-0E22-4AB4-8193-A84DF432E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68261</xdr:colOff>
      <xdr:row>16</xdr:row>
      <xdr:rowOff>190499</xdr:rowOff>
    </xdr:from>
    <xdr:to>
      <xdr:col>8</xdr:col>
      <xdr:colOff>547688</xdr:colOff>
      <xdr:row>42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F9BBB-5876-4184-9F61-4659FE374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68261</xdr:colOff>
      <xdr:row>16</xdr:row>
      <xdr:rowOff>190499</xdr:rowOff>
    </xdr:from>
    <xdr:to>
      <xdr:col>8</xdr:col>
      <xdr:colOff>547688</xdr:colOff>
      <xdr:row>42</xdr:row>
      <xdr:rowOff>87312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8AF00827-9A7A-4A4B-AE1C-2710310ED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68261</xdr:colOff>
      <xdr:row>18</xdr:row>
      <xdr:rowOff>57150</xdr:rowOff>
    </xdr:from>
    <xdr:to>
      <xdr:col>8</xdr:col>
      <xdr:colOff>547688</xdr:colOff>
      <xdr:row>42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68D3B-71D7-4D25-ADAA-732E76026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6F32E6-5A1E-4681-AF3F-F6C1281A4C69}" name="Table3" displayName="Table3" ref="A3:I5" totalsRowShown="0" headerRowDxfId="12" dataDxfId="11">
  <autoFilter ref="A3:I5" xr:uid="{236F32E6-5A1E-4681-AF3F-F6C1281A4C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0098D05-10E5-4443-B23B-9AE5113E3697}" name="Program" dataDxfId="10"/>
    <tableColumn id="2" xr3:uid="{629135BF-5DC5-446D-BB0E-268252C482A2}" name="Time (hr)" dataDxfId="9"/>
    <tableColumn id="3" xr3:uid="{176CDCC3-7C4C-48AB-A28F-5C619A1F0C77}" name="Actual Temp (°C)" dataDxfId="8"/>
    <tableColumn id="4" xr3:uid="{0F10A7A7-A16B-4F66-AD92-F281D8F8991F}" name="Set Temp (°C)" dataDxfId="7">
      <calculatedColumnFormula>IFERROR(ROUND(IF(useEq,((Table3[[#This Row],[Actual Temp (°C)]]-intercept)/slope),Table3[[#This Row],[Set1]]+((Table3[[#This Row],[Actual Temp (°C)]]-Table3[[#This Row],[Act1]])*(Table3[[#This Row],[Set2]]-Table3[[#This Row],[Set1]])/(Table3[[#This Row],[Act2]]-Table3[[#This Row],[Act1]]))),0),Table3[[#This Row],[Actual Temp (°C)]])</calculatedColumnFormula>
    </tableColumn>
    <tableColumn id="5" xr3:uid="{2D0D16AD-C808-4212-A829-7113DC991189}" name="Ramp Rate (°C/hr)" dataDxfId="6">
      <calculatedColumnFormula>IF(Table3[[#This Row],[Program]]="Ramp",ABS(ROUND((D4-IF(ISNUMBER(B3),IF(ISNUMBER(C3),D3,D2),$E$2))/B4,1)),"")</calculatedColumnFormula>
    </tableColumn>
    <tableColumn id="6" xr3:uid="{EB00A5FB-CA7A-497B-A4D8-2BAD9FA18404}" name="Act1" dataDxfId="5">
      <calculatedColumnFormula array="1">_xlfn.XLOOKUP(C4,INDIRECT("furnace"&amp;TEXT($B$2,"00")&amp;"["&amp;actHead&amp;"]"),INDIRECT("furnace"&amp;TEXT($B$2,"00")&amp;"["&amp;actHead&amp;"]"),0,-1)</calculatedColumnFormula>
    </tableColumn>
    <tableColumn id="7" xr3:uid="{90102131-01DD-4789-BAB3-AC45871CB1DA}" name="Act2" dataDxfId="4">
      <calculatedColumnFormula array="1">_xlfn.XLOOKUP(C4,INDIRECT("furnace"&amp;TEXT($B$2,"00")&amp;"["&amp;actHead&amp;"]"),INDIRECT("furnace"&amp;TEXT($B$2,"00")&amp;"["&amp;actHead&amp;"]"),0,1)</calculatedColumnFormula>
    </tableColumn>
    <tableColumn id="8" xr3:uid="{A92DB5DE-1130-414C-9C50-9E31510FE675}" name="Set1" dataDxfId="3">
      <calculatedColumnFormula array="1">_xlfn.XLOOKUP(C4,INDIRECT("furnace"&amp;TEXT($B$2,"00")&amp;"["&amp;actHead&amp;"]"),INDIRECT("furnace"&amp;TEXT($B$2,"00")&amp;"["&amp;setHead&amp;"]"),0,-1)</calculatedColumnFormula>
    </tableColumn>
    <tableColumn id="9" xr3:uid="{B88AAB28-761E-492C-BB2B-B7758BA456BC}" name="Set2" dataDxfId="2">
      <calculatedColumnFormula array="1">_xlfn.XLOOKUP(C4,INDIRECT("furnace"&amp;TEXT($B$2,"00")&amp;"["&amp;actHead&amp;"]"),INDIRECT("furnace"&amp;TEXT($B$2,"00")&amp;"["&amp;setHead&amp;"]"),0,1)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44259C-F1DD-459A-BA8C-65F5A3105810}" name="interpolate" displayName="interpolate" ref="A1:D41" totalsRowShown="0">
  <autoFilter ref="A1:D41" xr:uid="{E844259C-F1DD-459A-BA8C-65F5A3105810}">
    <filterColumn colId="0" hiddenButton="1"/>
    <filterColumn colId="1" hiddenButton="1"/>
    <filterColumn colId="2" hiddenButton="1"/>
    <filterColumn colId="3" hiddenButton="1"/>
  </autoFilter>
  <tableColumns count="4">
    <tableColumn id="1" xr3:uid="{CD156B59-B7E0-4CEE-954E-76E891198C85}" name="Furnace" dataDxfId="1"/>
    <tableColumn id="2" xr3:uid="{6F9B6D6E-065B-4009-9227-45113270B0A1}" name="Slope">
      <calculatedColumnFormula>INDEX(LINEST(INDIRECT("furnace"&amp;TEXT(A2,"00")&amp;"["&amp;furnace00[[#Headers],[Actual (°C)]]&amp;"]"),INDIRECT("furnace"&amp;TEXT(A2,"00")&amp;"["&amp;furnace00[[#Headers],[Set (°C)]]&amp;"]")),1,1)</calculatedColumnFormula>
    </tableColumn>
    <tableColumn id="3" xr3:uid="{D96734FA-4C23-4C21-A779-2FB5CBF36569}" name="Intercept">
      <calculatedColumnFormula>INDEX(LINEST(INDIRECT("furnace"&amp;TEXT($A2,"00")&amp;"["&amp;furnace00[[#Headers],[Actual (°C)]]&amp;"]"),INDIRECT("furnace"&amp;TEXT($A2,"00")&amp;"["&amp;furnace00[[#Headers],[Set (°C)]]&amp;"]")),1,2)</calculatedColumnFormula>
    </tableColumn>
    <tableColumn id="4" xr3:uid="{C757BFB6-46BB-45C2-A46C-98C8DC8282C9}" name="2-point? (Y/N)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92205-AFDC-4453-9759-5E397D3F563E}" name="furnace00" displayName="furnace00" ref="A1:B16" totalsRowShown="0">
  <autoFilter ref="A1:B16" xr:uid="{65707CC1-06FD-49C8-B212-D18F7B5CB570}">
    <filterColumn colId="0" hiddenButton="1"/>
    <filterColumn colId="1" hiddenButton="1"/>
  </autoFilter>
  <tableColumns count="2">
    <tableColumn id="1" xr3:uid="{F638091C-E293-43CE-BA41-2EA041BF42E5}" name="Set (°C)"/>
    <tableColumn id="2" xr3:uid="{081F22F4-C2E3-4A47-8CAC-97F325C7B854}" name="Actual (°C)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87EF6B-C3D7-4286-81CA-36AE1F713195}" name="furnace25" displayName="furnace25" ref="A1:B16" totalsRowShown="0">
  <autoFilter ref="A1:B16" xr:uid="{65707CC1-06FD-49C8-B212-D18F7B5CB570}">
    <filterColumn colId="0" hiddenButton="1"/>
    <filterColumn colId="1" hiddenButton="1"/>
  </autoFilter>
  <tableColumns count="2">
    <tableColumn id="1" xr3:uid="{EAC72191-8D00-4052-94C3-380D822DF25C}" name="Set (°C)"/>
    <tableColumn id="2" xr3:uid="{04CFAF90-3BF6-44CA-972B-A83824B6EA7A}" name="Actual (°C)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301B26-30EC-462E-8FD9-82773E127E19}" name="furnace32" displayName="furnace32" ref="A1:B16" totalsRowShown="0">
  <autoFilter ref="A1:B16" xr:uid="{65707CC1-06FD-49C8-B212-D18F7B5CB570}">
    <filterColumn colId="0" hiddenButton="1"/>
    <filterColumn colId="1" hiddenButton="1"/>
  </autoFilter>
  <tableColumns count="2">
    <tableColumn id="1" xr3:uid="{37E74253-458E-461F-840D-B539AFF7BCBC}" name="Set (°C)"/>
    <tableColumn id="2" xr3:uid="{E28BF761-F49A-435D-A7E2-763C14838CCF}" name="Actual (°C)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F41F8F-EE77-44AE-9399-B7937E0F327C}" name="furnace35" displayName="furnace35" ref="A1:B11" totalsRowShown="0">
  <autoFilter ref="A1:B11" xr:uid="{65707CC1-06FD-49C8-B212-D18F7B5CB570}">
    <filterColumn colId="0" hiddenButton="1"/>
    <filterColumn colId="1" hiddenButton="1"/>
  </autoFilter>
  <tableColumns count="2">
    <tableColumn id="1" xr3:uid="{B9E2EEC7-C7B4-49B7-9274-D519E34F3118}" name="Set (°C)"/>
    <tableColumn id="2" xr3:uid="{9394B17B-67E4-4489-8CC8-39D1D6A15749}" name="Actual (°C)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9AAED1-FEF0-4B42-A857-A52F419AEB00}" name="furnace33" displayName="furnace33" ref="A1:B16" totalsRowShown="0">
  <autoFilter ref="A1:B16" xr:uid="{65707CC1-06FD-49C8-B212-D18F7B5CB570}">
    <filterColumn colId="0" hiddenButton="1"/>
    <filterColumn colId="1" hiddenButton="1"/>
  </autoFilter>
  <tableColumns count="2">
    <tableColumn id="1" xr3:uid="{096A82B3-F72E-4BBB-859A-81381EA45467}" name="Set (°C)"/>
    <tableColumn id="2" xr3:uid="{C13781F9-F068-472D-9597-3BD0D977B3F3}" name="Actual (°C)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554054-BB84-4ACB-A9EE-BD4A9B30CB8B}" name="furnace20" displayName="furnace20" ref="A1:B18" totalsRowShown="0">
  <autoFilter ref="A1:B18" xr:uid="{65707CC1-06FD-49C8-B212-D18F7B5CB570}">
    <filterColumn colId="0" hiddenButton="1"/>
    <filterColumn colId="1" hiddenButton="1"/>
  </autoFilter>
  <tableColumns count="2">
    <tableColumn id="1" xr3:uid="{8A4C6B09-0E10-497E-9CCB-586BE6EFC2F3}" name="Set (°C)"/>
    <tableColumn id="2" xr3:uid="{B7429354-FD5E-4683-89E7-7793DA054B30}" name="Actual (°C)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B279-5764-41E9-8F53-8A01628C45BD}">
  <sheetPr codeName="Sheet1"/>
  <dimension ref="A1:P9"/>
  <sheetViews>
    <sheetView topLeftCell="A2" workbookViewId="0">
      <selection activeCell="E15" sqref="E15"/>
    </sheetView>
  </sheetViews>
  <sheetFormatPr defaultRowHeight="15" x14ac:dyDescent="0.25"/>
  <cols>
    <col min="1" max="1" width="8.42578125" bestFit="1" customWidth="1"/>
    <col min="2" max="2" width="9.140625" bestFit="1" customWidth="1"/>
    <col min="3" max="3" width="15.85546875" bestFit="1" customWidth="1"/>
    <col min="4" max="4" width="13.140625" bestFit="1" customWidth="1"/>
    <col min="5" max="5" width="17" bestFit="1" customWidth="1"/>
    <col min="6" max="9" width="17" hidden="1" customWidth="1"/>
    <col min="10" max="10" width="1.85546875" customWidth="1"/>
    <col min="11" max="11" width="6.140625" bestFit="1" customWidth="1"/>
    <col min="12" max="12" width="10.42578125" bestFit="1" customWidth="1"/>
    <col min="13" max="13" width="9.7109375" bestFit="1" customWidth="1"/>
    <col min="14" max="14" width="1.85546875" customWidth="1"/>
  </cols>
  <sheetData>
    <row r="1" spans="1:16" ht="15.75" hidden="1" thickBot="1" x14ac:dyDescent="0.3">
      <c r="G1" s="3" t="s">
        <v>32</v>
      </c>
      <c r="H1" s="3" t="s">
        <v>14</v>
      </c>
      <c r="I1" s="3" t="s">
        <v>15</v>
      </c>
    </row>
    <row r="2" spans="1:16" ht="15.75" thickBot="1" x14ac:dyDescent="0.3">
      <c r="A2" s="4" t="s">
        <v>3</v>
      </c>
      <c r="B2" s="8">
        <v>32</v>
      </c>
      <c r="C2" s="18" t="s">
        <v>10</v>
      </c>
      <c r="D2" s="19"/>
      <c r="E2" s="5">
        <v>25</v>
      </c>
      <c r="G2" s="16" t="b">
        <f>_xlfn.XLOOKUP($B$2,interpolate[Furnace],interpolate[2-point? (Y/N)])="N"</f>
        <v>1</v>
      </c>
      <c r="H2" s="16">
        <f ca="1">_xlfn.XLOOKUP($B$2,interpolate[Furnace],interpolate[Slope])</f>
        <v>0.9787716535433072</v>
      </c>
      <c r="I2" s="16">
        <f ca="1">_xlfn.XLOOKUP($B$2,interpolate[Furnace],interpolate[Intercept])</f>
        <v>3.0974803149606487</v>
      </c>
      <c r="K2" s="20" t="s">
        <v>11</v>
      </c>
      <c r="L2" s="21"/>
      <c r="O2" t="s">
        <v>4</v>
      </c>
      <c r="P2" t="s">
        <v>6</v>
      </c>
    </row>
    <row r="3" spans="1:16" ht="15.75" thickBot="1" x14ac:dyDescent="0.3">
      <c r="A3" s="2" t="s">
        <v>2</v>
      </c>
      <c r="B3" s="2" t="s">
        <v>4</v>
      </c>
      <c r="C3" s="2" t="s">
        <v>7</v>
      </c>
      <c r="D3" s="2" t="s">
        <v>8</v>
      </c>
      <c r="E3" s="2" t="s">
        <v>9</v>
      </c>
      <c r="F3" s="2" t="s">
        <v>28</v>
      </c>
      <c r="G3" s="2" t="s">
        <v>29</v>
      </c>
      <c r="H3" s="2" t="s">
        <v>30</v>
      </c>
      <c r="I3" s="2" t="s">
        <v>31</v>
      </c>
      <c r="K3" s="3" t="s">
        <v>12</v>
      </c>
      <c r="L3" s="6" cm="1">
        <f t="array" ref="L3">_xlfn.FLOOR.MATH(INDEX(_xlfn.ANCHORARRAY(O3),ROWS(_xlfn.ANCHORARRAY(O3)))/24)</f>
        <v>3</v>
      </c>
      <c r="O3" cm="1">
        <f t="array" ref="O3:O5">_xlfn.MAKEARRAY(ROWS(Table3[Time (hr)])+1,1,_xlfn.LAMBDA(_xlpm.r,_xlpm.c,IF(_xlpm.r=1,0,SUM(_xlfn.MAKEARRAY(_xlpm.r-1,1,_xlfn.LAMBDA(_xlpm.rr,_xlpm.cc,INDEX(Table3[Time (hr)],_xlpm.rr)))))))</f>
        <v>0</v>
      </c>
      <c r="P3" cm="1">
        <f t="array" ref="P3:P5">_xlfn.MAKEARRAY(ROWS(Table3[Actual Temp (°C)])+1,1,_xlfn.LAMBDA(_xlpm.r,_xlpm.c,IF(_xlpm.r=1,$E$2,INDEX(Table3[Actual Temp (°C)],IF(INDEX(Table3[Program],_xlpm.r-1)="Ramp",_xlpm.r-1,_xlpm.r-2)))))</f>
        <v>25</v>
      </c>
    </row>
    <row r="4" spans="1:16" ht="15.75" thickBot="1" x14ac:dyDescent="0.3">
      <c r="A4" s="7" t="s">
        <v>5</v>
      </c>
      <c r="B4" s="2">
        <v>10</v>
      </c>
      <c r="C4" s="2">
        <v>600</v>
      </c>
      <c r="D4" s="17">
        <f ca="1">IFERROR(ROUND(IF(useEq,((Table3[[#This Row],[Actual Temp (°C)]]-intercept)/slope),Table3[[#This Row],[Set1]]+((Table3[[#This Row],[Actual Temp (°C)]]-Table3[[#This Row],[Act1]])*(Table3[[#This Row],[Set2]]-Table3[[#This Row],[Set1]])/(Table3[[#This Row],[Act2]]-Table3[[#This Row],[Act1]]))),0),Table3[[#This Row],[Actual Temp (°C)]])</f>
        <v>610</v>
      </c>
      <c r="E4" s="1">
        <f ca="1">IF(Table3[[#This Row],[Program]]="Ramp",ABS(ROUND((D4-IF(ISNUMBER(B3),IF(ISNUMBER(C3),D3,D2),$E$2))/B4,1)),"")</f>
        <v>58.5</v>
      </c>
      <c r="F4" s="1" cm="1">
        <f t="array" aca="1" ref="F4" ca="1">_xlfn.XLOOKUP(C4,INDIRECT("furnace"&amp;TEXT($B$2,"00")&amp;"["&amp;actHead&amp;"]"),INDIRECT("furnace"&amp;TEXT($B$2,"00")&amp;"["&amp;actHead&amp;"]"),0,-1)</f>
        <v>589</v>
      </c>
      <c r="G4" s="1" cm="1">
        <f t="array" aca="1" ref="G4" ca="1">_xlfn.XLOOKUP(C4,INDIRECT("furnace"&amp;TEXT($B$2,"00")&amp;"["&amp;actHead&amp;"]"),INDIRECT("furnace"&amp;TEXT($B$2,"00")&amp;"["&amp;actHead&amp;"]"),0,1)</f>
        <v>639.79999999999995</v>
      </c>
      <c r="H4" s="1" cm="1">
        <f t="array" aca="1" ref="H4" ca="1">_xlfn.XLOOKUP(C4,INDIRECT("furnace"&amp;TEXT($B$2,"00")&amp;"["&amp;actHead&amp;"]"),INDIRECT("furnace"&amp;TEXT($B$2,"00")&amp;"["&amp;setHead&amp;"]"),0,-1)</f>
        <v>600</v>
      </c>
      <c r="I4" s="1" cm="1">
        <f t="array" aca="1" ref="I4" ca="1">_xlfn.XLOOKUP(C4,INDIRECT("furnace"&amp;TEXT($B$2,"00")&amp;"["&amp;actHead&amp;"]"),INDIRECT("furnace"&amp;TEXT($B$2,"00")&amp;"["&amp;setHead&amp;"]"),0,1)</f>
        <v>650</v>
      </c>
      <c r="K4" s="3" t="s">
        <v>13</v>
      </c>
      <c r="L4" s="6" cm="1">
        <f t="array" ref="L4">MOD(INDEX(_xlfn.ANCHORARRAY(O3),ROWS(_xlfn.ANCHORARRAY(O3))),24)</f>
        <v>0</v>
      </c>
      <c r="O4">
        <v>10</v>
      </c>
      <c r="P4">
        <v>600</v>
      </c>
    </row>
    <row r="5" spans="1:16" ht="15.75" thickBot="1" x14ac:dyDescent="0.3">
      <c r="A5" s="1" t="s">
        <v>34</v>
      </c>
      <c r="B5" s="2">
        <v>62</v>
      </c>
      <c r="C5" s="2">
        <v>650</v>
      </c>
      <c r="D5" s="2">
        <f ca="1">IFERROR(ROUND(IF(useEq,((Table3[[#This Row],[Actual Temp (°C)]]-intercept)/slope),Table3[[#This Row],[Set1]]+((Table3[[#This Row],[Actual Temp (°C)]]-Table3[[#This Row],[Act1]])*(Table3[[#This Row],[Set2]]-Table3[[#This Row],[Set1]])/(Table3[[#This Row],[Act2]]-Table3[[#This Row],[Act1]]))),0),Table3[[#This Row],[Actual Temp (°C)]])</f>
        <v>661</v>
      </c>
      <c r="E5" s="1" t="str">
        <f>IF(Table3[[#This Row],[Program]]="Ramp",ABS(ROUND((D5-IF(ISNUMBER(B4),IF(ISNUMBER(C4),D4,D3),$E$2))/B5,1)),"")</f>
        <v/>
      </c>
      <c r="F5" s="1" cm="1">
        <f t="array" aca="1" ref="F5" ca="1">_xlfn.XLOOKUP(C5,INDIRECT("furnace"&amp;TEXT($B$2,"00")&amp;"["&amp;actHead&amp;"]"),INDIRECT("furnace"&amp;TEXT($B$2,"00")&amp;"["&amp;actHead&amp;"]"),0,-1)</f>
        <v>639.79999999999995</v>
      </c>
      <c r="G5" s="1" cm="1">
        <f t="array" aca="1" ref="G5" ca="1">_xlfn.XLOOKUP(C5,INDIRECT("furnace"&amp;TEXT($B$2,"00")&amp;"["&amp;actHead&amp;"]"),INDIRECT("furnace"&amp;TEXT($B$2,"00")&amp;"["&amp;actHead&amp;"]"),0,1)</f>
        <v>690</v>
      </c>
      <c r="H5" s="1" cm="1">
        <f t="array" aca="1" ref="H5" ca="1">_xlfn.XLOOKUP(C5,INDIRECT("furnace"&amp;TEXT($B$2,"00")&amp;"["&amp;actHead&amp;"]"),INDIRECT("furnace"&amp;TEXT($B$2,"00")&amp;"["&amp;setHead&amp;"]"),0,-1)</f>
        <v>650</v>
      </c>
      <c r="I5" s="1" cm="1">
        <f t="array" aca="1" ref="I5" ca="1">_xlfn.XLOOKUP(C5,INDIRECT("furnace"&amp;TEXT($B$2,"00")&amp;"["&amp;actHead&amp;"]"),INDIRECT("furnace"&amp;TEXT($B$2,"00")&amp;"["&amp;setHead&amp;"]"),0,1)</f>
        <v>700</v>
      </c>
      <c r="O5">
        <v>72</v>
      </c>
      <c r="P5">
        <v>600</v>
      </c>
    </row>
    <row r="6" spans="1:16" ht="15.75" thickBot="1" x14ac:dyDescent="0.3">
      <c r="K6" s="3" t="s">
        <v>23</v>
      </c>
      <c r="L6" s="14">
        <v>0.45833333333333331</v>
      </c>
      <c r="M6" s="15">
        <v>46139</v>
      </c>
    </row>
    <row r="7" spans="1:16" ht="15.75" thickBot="1" x14ac:dyDescent="0.3">
      <c r="K7" s="3" t="s">
        <v>24</v>
      </c>
      <c r="L7" s="12">
        <f>MOD(L6+TIME(_xlfn.FLOOR.MATH(L4),MOD(L4,1)*60,0),1)</f>
        <v>0.45833333333333331</v>
      </c>
      <c r="M7" s="13">
        <f>M6+IF(L7&gt;=L6,L3,L3+1)</f>
        <v>46142</v>
      </c>
    </row>
    <row r="9" spans="1:16" x14ac:dyDescent="0.25">
      <c r="L9" s="11"/>
    </row>
  </sheetData>
  <mergeCells count="2">
    <mergeCell ref="C2:D2"/>
    <mergeCell ref="K2:L2"/>
  </mergeCells>
  <phoneticPr fontId="7" type="noConversion"/>
  <conditionalFormatting sqref="C4:I5">
    <cfRule type="expression" dxfId="0" priority="1">
      <formula>$A4="Dwell"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BE91-14C9-4140-9EFE-8B0B2297878E}">
  <sheetPr codeName="Sheet2"/>
  <dimension ref="A1:E41"/>
  <sheetViews>
    <sheetView workbookViewId="0">
      <pane ySplit="1" topLeftCell="A11" activePane="bottomLeft" state="frozen"/>
      <selection pane="bottomLeft" activeCell="G15" sqref="G15"/>
    </sheetView>
  </sheetViews>
  <sheetFormatPr defaultRowHeight="15" x14ac:dyDescent="0.25"/>
  <cols>
    <col min="1" max="1" width="10.140625" customWidth="1"/>
    <col min="3" max="3" width="11.28515625" customWidth="1"/>
    <col min="4" max="4" width="13.85546875" bestFit="1" customWidth="1"/>
  </cols>
  <sheetData>
    <row r="1" spans="1:5" x14ac:dyDescent="0.25">
      <c r="A1" t="s">
        <v>3</v>
      </c>
      <c r="B1" t="s">
        <v>14</v>
      </c>
      <c r="C1" t="s">
        <v>15</v>
      </c>
      <c r="D1" t="s">
        <v>16</v>
      </c>
      <c r="E1" t="s">
        <v>18</v>
      </c>
    </row>
    <row r="2" spans="1:5" x14ac:dyDescent="0.25">
      <c r="A2" s="9">
        <v>1</v>
      </c>
      <c r="B2" t="e">
        <f ca="1">INDEX(LINEST(INDIRECT("furnace"&amp;TEXT(A2,"00")&amp;"["&amp;furnace00[[#Headers],[Actual (°C)]]&amp;"]"),INDIRECT("furnace"&amp;TEXT(A2,"00")&amp;"["&amp;furnace00[[#Headers],[Set (°C)]]&amp;"]")),1,1)</f>
        <v>#REF!</v>
      </c>
      <c r="C2" t="e">
        <f ca="1">INDEX(LINEST(INDIRECT("furnace"&amp;TEXT($A2,"00")&amp;"["&amp;furnace00[[#Headers],[Actual (°C)]]&amp;"]"),INDIRECT("furnace"&amp;TEXT($A2,"00")&amp;"["&amp;furnace00[[#Headers],[Set (°C)]]&amp;"]")),1,2)</f>
        <v>#REF!</v>
      </c>
      <c r="D2" t="s">
        <v>17</v>
      </c>
    </row>
    <row r="3" spans="1:5" x14ac:dyDescent="0.25">
      <c r="A3" s="9">
        <v>2</v>
      </c>
      <c r="B3" t="e">
        <f ca="1">INDEX(LINEST(INDIRECT("furnace"&amp;TEXT(A3,"00")&amp;"["&amp;furnace00[[#Headers],[Actual (°C)]]&amp;"]"),INDIRECT("furnace"&amp;TEXT(A3,"00")&amp;"["&amp;furnace00[[#Headers],[Set (°C)]]&amp;"]")),1,1)</f>
        <v>#REF!</v>
      </c>
      <c r="C3" t="e">
        <f ca="1">INDEX(LINEST(INDIRECT("furnace"&amp;TEXT($A3,"00")&amp;"["&amp;furnace00[[#Headers],[Actual (°C)]]&amp;"]"),INDIRECT("furnace"&amp;TEXT($A3,"00")&amp;"["&amp;furnace00[[#Headers],[Set (°C)]]&amp;"]")),1,2)</f>
        <v>#REF!</v>
      </c>
      <c r="D3" t="s">
        <v>17</v>
      </c>
    </row>
    <row r="4" spans="1:5" x14ac:dyDescent="0.25">
      <c r="A4" s="9">
        <v>3</v>
      </c>
      <c r="B4" t="e">
        <f ca="1">INDEX(LINEST(INDIRECT("furnace"&amp;TEXT(A4,"00")&amp;"["&amp;furnace00[[#Headers],[Actual (°C)]]&amp;"]"),INDIRECT("furnace"&amp;TEXT(A4,"00")&amp;"["&amp;furnace00[[#Headers],[Set (°C)]]&amp;"]")),1,1)</f>
        <v>#REF!</v>
      </c>
      <c r="C4" t="e">
        <f ca="1">INDEX(LINEST(INDIRECT("furnace"&amp;TEXT($A4,"00")&amp;"["&amp;furnace00[[#Headers],[Actual (°C)]]&amp;"]"),INDIRECT("furnace"&amp;TEXT($A4,"00")&amp;"["&amp;furnace00[[#Headers],[Set (°C)]]&amp;"]")),1,2)</f>
        <v>#REF!</v>
      </c>
      <c r="D4" t="s">
        <v>17</v>
      </c>
    </row>
    <row r="5" spans="1:5" x14ac:dyDescent="0.25">
      <c r="A5" s="9">
        <v>4</v>
      </c>
      <c r="B5" t="e">
        <f ca="1">INDEX(LINEST(INDIRECT("furnace"&amp;TEXT(A5,"00")&amp;"["&amp;furnace00[[#Headers],[Actual (°C)]]&amp;"]"),INDIRECT("furnace"&amp;TEXT(A5,"00")&amp;"["&amp;furnace00[[#Headers],[Set (°C)]]&amp;"]")),1,1)</f>
        <v>#REF!</v>
      </c>
      <c r="C5" t="e">
        <f ca="1">INDEX(LINEST(INDIRECT("furnace"&amp;TEXT($A5,"00")&amp;"["&amp;furnace00[[#Headers],[Actual (°C)]]&amp;"]"),INDIRECT("furnace"&amp;TEXT($A5,"00")&amp;"["&amp;furnace00[[#Headers],[Set (°C)]]&amp;"]")),1,2)</f>
        <v>#REF!</v>
      </c>
      <c r="D5" t="s">
        <v>17</v>
      </c>
    </row>
    <row r="6" spans="1:5" x14ac:dyDescent="0.25">
      <c r="A6" s="9">
        <v>5</v>
      </c>
      <c r="B6" t="e">
        <f ca="1">INDEX(LINEST(INDIRECT("furnace"&amp;TEXT(A6,"00")&amp;"["&amp;furnace00[[#Headers],[Actual (°C)]]&amp;"]"),INDIRECT("furnace"&amp;TEXT(A6,"00")&amp;"["&amp;furnace00[[#Headers],[Set (°C)]]&amp;"]")),1,1)</f>
        <v>#REF!</v>
      </c>
      <c r="C6" t="e">
        <f ca="1">INDEX(LINEST(INDIRECT("furnace"&amp;TEXT($A6,"00")&amp;"["&amp;furnace00[[#Headers],[Actual (°C)]]&amp;"]"),INDIRECT("furnace"&amp;TEXT($A6,"00")&amp;"["&amp;furnace00[[#Headers],[Set (°C)]]&amp;"]")),1,2)</f>
        <v>#REF!</v>
      </c>
      <c r="D6" t="s">
        <v>17</v>
      </c>
    </row>
    <row r="7" spans="1:5" x14ac:dyDescent="0.25">
      <c r="A7" s="9">
        <v>6</v>
      </c>
      <c r="B7" t="e">
        <f ca="1">INDEX(LINEST(INDIRECT("furnace"&amp;TEXT(A7,"00")&amp;"["&amp;furnace00[[#Headers],[Actual (°C)]]&amp;"]"),INDIRECT("furnace"&amp;TEXT(A7,"00")&amp;"["&amp;furnace00[[#Headers],[Set (°C)]]&amp;"]")),1,1)</f>
        <v>#REF!</v>
      </c>
      <c r="C7" t="e">
        <f ca="1">INDEX(LINEST(INDIRECT("furnace"&amp;TEXT($A7,"00")&amp;"["&amp;furnace00[[#Headers],[Actual (°C)]]&amp;"]"),INDIRECT("furnace"&amp;TEXT($A7,"00")&amp;"["&amp;furnace00[[#Headers],[Set (°C)]]&amp;"]")),1,2)</f>
        <v>#REF!</v>
      </c>
      <c r="D7" t="s">
        <v>17</v>
      </c>
    </row>
    <row r="8" spans="1:5" x14ac:dyDescent="0.25">
      <c r="A8" s="9">
        <v>7</v>
      </c>
      <c r="B8" t="e">
        <f ca="1">INDEX(LINEST(INDIRECT("furnace"&amp;TEXT(A8,"00")&amp;"["&amp;furnace00[[#Headers],[Actual (°C)]]&amp;"]"),INDIRECT("furnace"&amp;TEXT(A8,"00")&amp;"["&amp;furnace00[[#Headers],[Set (°C)]]&amp;"]")),1,1)</f>
        <v>#REF!</v>
      </c>
      <c r="C8" t="e">
        <f ca="1">INDEX(LINEST(INDIRECT("furnace"&amp;TEXT($A8,"00")&amp;"["&amp;furnace00[[#Headers],[Actual (°C)]]&amp;"]"),INDIRECT("furnace"&amp;TEXT($A8,"00")&amp;"["&amp;furnace00[[#Headers],[Set (°C)]]&amp;"]")),1,2)</f>
        <v>#REF!</v>
      </c>
      <c r="D8" t="s">
        <v>17</v>
      </c>
    </row>
    <row r="9" spans="1:5" x14ac:dyDescent="0.25">
      <c r="A9" s="9">
        <v>8</v>
      </c>
      <c r="B9" t="e">
        <f ca="1">INDEX(LINEST(INDIRECT("furnace"&amp;TEXT(A9,"00")&amp;"["&amp;furnace00[[#Headers],[Actual (°C)]]&amp;"]"),INDIRECT("furnace"&amp;TEXT(A9,"00")&amp;"["&amp;furnace00[[#Headers],[Set (°C)]]&amp;"]")),1,1)</f>
        <v>#REF!</v>
      </c>
      <c r="C9" t="e">
        <f ca="1">INDEX(LINEST(INDIRECT("furnace"&amp;TEXT($A9,"00")&amp;"["&amp;furnace00[[#Headers],[Actual (°C)]]&amp;"]"),INDIRECT("furnace"&amp;TEXT($A9,"00")&amp;"["&amp;furnace00[[#Headers],[Set (°C)]]&amp;"]")),1,2)</f>
        <v>#REF!</v>
      </c>
      <c r="D9" t="s">
        <v>17</v>
      </c>
    </row>
    <row r="10" spans="1:5" x14ac:dyDescent="0.25">
      <c r="A10" s="9">
        <v>9</v>
      </c>
      <c r="B10" t="e">
        <f ca="1">INDEX(LINEST(INDIRECT("furnace"&amp;TEXT(A10,"00")&amp;"["&amp;furnace00[[#Headers],[Actual (°C)]]&amp;"]"),INDIRECT("furnace"&amp;TEXT(A10,"00")&amp;"["&amp;furnace00[[#Headers],[Set (°C)]]&amp;"]")),1,1)</f>
        <v>#REF!</v>
      </c>
      <c r="C10" t="e">
        <f ca="1">INDEX(LINEST(INDIRECT("furnace"&amp;TEXT($A10,"00")&amp;"["&amp;furnace00[[#Headers],[Actual (°C)]]&amp;"]"),INDIRECT("furnace"&amp;TEXT($A10,"00")&amp;"["&amp;furnace00[[#Headers],[Set (°C)]]&amp;"]")),1,2)</f>
        <v>#REF!</v>
      </c>
      <c r="D10" t="s">
        <v>17</v>
      </c>
    </row>
    <row r="11" spans="1:5" x14ac:dyDescent="0.25">
      <c r="A11" s="9">
        <v>10</v>
      </c>
      <c r="B11" t="e">
        <f ca="1">INDEX(LINEST(INDIRECT("furnace"&amp;TEXT(A11,"00")&amp;"["&amp;furnace00[[#Headers],[Actual (°C)]]&amp;"]"),INDIRECT("furnace"&amp;TEXT(A11,"00")&amp;"["&amp;furnace00[[#Headers],[Set (°C)]]&amp;"]")),1,1)</f>
        <v>#REF!</v>
      </c>
      <c r="C11" t="e">
        <f ca="1">INDEX(LINEST(INDIRECT("furnace"&amp;TEXT($A11,"00")&amp;"["&amp;furnace00[[#Headers],[Actual (°C)]]&amp;"]"),INDIRECT("furnace"&amp;TEXT($A11,"00")&amp;"["&amp;furnace00[[#Headers],[Set (°C)]]&amp;"]")),1,2)</f>
        <v>#REF!</v>
      </c>
      <c r="D11" t="s">
        <v>17</v>
      </c>
    </row>
    <row r="12" spans="1:5" x14ac:dyDescent="0.25">
      <c r="A12" s="9">
        <v>11</v>
      </c>
      <c r="B12" t="e">
        <f ca="1">INDEX(LINEST(INDIRECT("furnace"&amp;TEXT(A12,"00")&amp;"["&amp;furnace00[[#Headers],[Actual (°C)]]&amp;"]"),INDIRECT("furnace"&amp;TEXT(A12,"00")&amp;"["&amp;furnace00[[#Headers],[Set (°C)]]&amp;"]")),1,1)</f>
        <v>#REF!</v>
      </c>
      <c r="C12" t="e">
        <f ca="1">INDEX(LINEST(INDIRECT("furnace"&amp;TEXT($A12,"00")&amp;"["&amp;furnace00[[#Headers],[Actual (°C)]]&amp;"]"),INDIRECT("furnace"&amp;TEXT($A12,"00")&amp;"["&amp;furnace00[[#Headers],[Set (°C)]]&amp;"]")),1,2)</f>
        <v>#REF!</v>
      </c>
      <c r="D12" t="s">
        <v>17</v>
      </c>
    </row>
    <row r="13" spans="1:5" x14ac:dyDescent="0.25">
      <c r="A13" s="9">
        <v>12</v>
      </c>
      <c r="B13" t="e">
        <f ca="1">INDEX(LINEST(INDIRECT("furnace"&amp;TEXT(A13,"00")&amp;"["&amp;furnace00[[#Headers],[Actual (°C)]]&amp;"]"),INDIRECT("furnace"&amp;TEXT(A13,"00")&amp;"["&amp;furnace00[[#Headers],[Set (°C)]]&amp;"]")),1,1)</f>
        <v>#REF!</v>
      </c>
      <c r="C13" t="e">
        <f ca="1">INDEX(LINEST(INDIRECT("furnace"&amp;TEXT($A13,"00")&amp;"["&amp;furnace00[[#Headers],[Actual (°C)]]&amp;"]"),INDIRECT("furnace"&amp;TEXT($A13,"00")&amp;"["&amp;furnace00[[#Headers],[Set (°C)]]&amp;"]")),1,2)</f>
        <v>#REF!</v>
      </c>
      <c r="D13" t="s">
        <v>17</v>
      </c>
    </row>
    <row r="14" spans="1:5" x14ac:dyDescent="0.25">
      <c r="A14" s="9">
        <v>13</v>
      </c>
      <c r="B14" t="e">
        <f ca="1">INDEX(LINEST(INDIRECT("furnace"&amp;TEXT(A14,"00")&amp;"["&amp;furnace00[[#Headers],[Actual (°C)]]&amp;"]"),INDIRECT("furnace"&amp;TEXT(A14,"00")&amp;"["&amp;furnace00[[#Headers],[Set (°C)]]&amp;"]")),1,1)</f>
        <v>#REF!</v>
      </c>
      <c r="C14" t="e">
        <f ca="1">INDEX(LINEST(INDIRECT("furnace"&amp;TEXT($A14,"00")&amp;"["&amp;furnace00[[#Headers],[Actual (°C)]]&amp;"]"),INDIRECT("furnace"&amp;TEXT($A14,"00")&amp;"["&amp;furnace00[[#Headers],[Set (°C)]]&amp;"]")),1,2)</f>
        <v>#REF!</v>
      </c>
      <c r="D14" t="s">
        <v>17</v>
      </c>
    </row>
    <row r="15" spans="1:5" x14ac:dyDescent="0.25">
      <c r="A15" s="9">
        <v>14</v>
      </c>
      <c r="B15" t="e">
        <f ca="1">INDEX(LINEST(INDIRECT("furnace"&amp;TEXT(A15,"00")&amp;"["&amp;furnace00[[#Headers],[Actual (°C)]]&amp;"]"),INDIRECT("furnace"&amp;TEXT(A15,"00")&amp;"["&amp;furnace00[[#Headers],[Set (°C)]]&amp;"]")),1,1)</f>
        <v>#REF!</v>
      </c>
      <c r="C15" t="e">
        <f ca="1">INDEX(LINEST(INDIRECT("furnace"&amp;TEXT($A15,"00")&amp;"["&amp;furnace00[[#Headers],[Actual (°C)]]&amp;"]"),INDIRECT("furnace"&amp;TEXT($A15,"00")&amp;"["&amp;furnace00[[#Headers],[Set (°C)]]&amp;"]")),1,2)</f>
        <v>#REF!</v>
      </c>
      <c r="D15" t="s">
        <v>17</v>
      </c>
    </row>
    <row r="16" spans="1:5" x14ac:dyDescent="0.25">
      <c r="A16" s="9">
        <v>15</v>
      </c>
      <c r="B16" t="e">
        <f ca="1">INDEX(LINEST(INDIRECT("furnace"&amp;TEXT(A16,"00")&amp;"["&amp;furnace00[[#Headers],[Actual (°C)]]&amp;"]"),INDIRECT("furnace"&amp;TEXT(A16,"00")&amp;"["&amp;furnace00[[#Headers],[Set (°C)]]&amp;"]")),1,1)</f>
        <v>#REF!</v>
      </c>
      <c r="C16" t="e">
        <f ca="1">INDEX(LINEST(INDIRECT("furnace"&amp;TEXT($A16,"00")&amp;"["&amp;furnace00[[#Headers],[Actual (°C)]]&amp;"]"),INDIRECT("furnace"&amp;TEXT($A16,"00")&amp;"["&amp;furnace00[[#Headers],[Set (°C)]]&amp;"]")),1,2)</f>
        <v>#REF!</v>
      </c>
      <c r="D16" t="s">
        <v>17</v>
      </c>
    </row>
    <row r="17" spans="1:4" x14ac:dyDescent="0.25">
      <c r="A17" s="9">
        <v>16</v>
      </c>
      <c r="B17" t="e">
        <f ca="1">INDEX(LINEST(INDIRECT("furnace"&amp;TEXT(A17,"00")&amp;"["&amp;furnace00[[#Headers],[Actual (°C)]]&amp;"]"),INDIRECT("furnace"&amp;TEXT(A17,"00")&amp;"["&amp;furnace00[[#Headers],[Set (°C)]]&amp;"]")),1,1)</f>
        <v>#REF!</v>
      </c>
      <c r="C17" t="e">
        <f ca="1">INDEX(LINEST(INDIRECT("furnace"&amp;TEXT($A17,"00")&amp;"["&amp;furnace00[[#Headers],[Actual (°C)]]&amp;"]"),INDIRECT("furnace"&amp;TEXT($A17,"00")&amp;"["&amp;furnace00[[#Headers],[Set (°C)]]&amp;"]")),1,2)</f>
        <v>#REF!</v>
      </c>
      <c r="D17" t="s">
        <v>17</v>
      </c>
    </row>
    <row r="18" spans="1:4" x14ac:dyDescent="0.25">
      <c r="A18" s="9">
        <v>17</v>
      </c>
      <c r="B18" t="e">
        <f ca="1">INDEX(LINEST(INDIRECT("furnace"&amp;TEXT(A18,"00")&amp;"["&amp;furnace00[[#Headers],[Actual (°C)]]&amp;"]"),INDIRECT("furnace"&amp;TEXT(A18,"00")&amp;"["&amp;furnace00[[#Headers],[Set (°C)]]&amp;"]")),1,1)</f>
        <v>#REF!</v>
      </c>
      <c r="C18" t="e">
        <f ca="1">INDEX(LINEST(INDIRECT("furnace"&amp;TEXT($A18,"00")&amp;"["&amp;furnace00[[#Headers],[Actual (°C)]]&amp;"]"),INDIRECT("furnace"&amp;TEXT($A18,"00")&amp;"["&amp;furnace00[[#Headers],[Set (°C)]]&amp;"]")),1,2)</f>
        <v>#REF!</v>
      </c>
      <c r="D18" t="s">
        <v>17</v>
      </c>
    </row>
    <row r="19" spans="1:4" x14ac:dyDescent="0.25">
      <c r="A19" s="9">
        <v>18</v>
      </c>
      <c r="B19" t="e">
        <f ca="1">INDEX(LINEST(INDIRECT("furnace"&amp;TEXT(A19,"00")&amp;"["&amp;furnace00[[#Headers],[Actual (°C)]]&amp;"]"),INDIRECT("furnace"&amp;TEXT(A19,"00")&amp;"["&amp;furnace00[[#Headers],[Set (°C)]]&amp;"]")),1,1)</f>
        <v>#REF!</v>
      </c>
      <c r="C19" t="e">
        <f ca="1">INDEX(LINEST(INDIRECT("furnace"&amp;TEXT($A19,"00")&amp;"["&amp;furnace00[[#Headers],[Actual (°C)]]&amp;"]"),INDIRECT("furnace"&amp;TEXT($A19,"00")&amp;"["&amp;furnace00[[#Headers],[Set (°C)]]&amp;"]")),1,2)</f>
        <v>#REF!</v>
      </c>
      <c r="D19" t="s">
        <v>17</v>
      </c>
    </row>
    <row r="20" spans="1:4" x14ac:dyDescent="0.25">
      <c r="A20" s="9">
        <v>19</v>
      </c>
      <c r="B20" t="e">
        <f ca="1">INDEX(LINEST(INDIRECT("furnace"&amp;TEXT(A20,"00")&amp;"["&amp;furnace00[[#Headers],[Actual (°C)]]&amp;"]"),INDIRECT("furnace"&amp;TEXT(A20,"00")&amp;"["&amp;furnace00[[#Headers],[Set (°C)]]&amp;"]")),1,1)</f>
        <v>#REF!</v>
      </c>
      <c r="C20" t="e">
        <f ca="1">INDEX(LINEST(INDIRECT("furnace"&amp;TEXT($A20,"00")&amp;"["&amp;furnace00[[#Headers],[Actual (°C)]]&amp;"]"),INDIRECT("furnace"&amp;TEXT($A20,"00")&amp;"["&amp;furnace00[[#Headers],[Set (°C)]]&amp;"]")),1,2)</f>
        <v>#REF!</v>
      </c>
      <c r="D20" t="s">
        <v>17</v>
      </c>
    </row>
    <row r="21" spans="1:4" x14ac:dyDescent="0.25">
      <c r="A21" s="9">
        <v>20</v>
      </c>
      <c r="B21">
        <f ca="1">INDEX(LINEST(INDIRECT("furnace"&amp;TEXT(A21,"00")&amp;"["&amp;furnace00[[#Headers],[Actual (°C)]]&amp;"]"),INDIRECT("furnace"&amp;TEXT(A21,"00")&amp;"["&amp;furnace00[[#Headers],[Set (°C)]]&amp;"]")),1,1)</f>
        <v>1.0029901960784315</v>
      </c>
      <c r="C21">
        <f ca="1">INDEX(LINEST(INDIRECT("furnace"&amp;TEXT($A21,"00")&amp;"["&amp;furnace00[[#Headers],[Actual (°C)]]&amp;"]"),INDIRECT("furnace"&amp;TEXT($A21,"00")&amp;"["&amp;furnace00[[#Headers],[Set (°C)]]&amp;"]")),1,2)</f>
        <v>7.8950980392155543</v>
      </c>
      <c r="D21" t="s">
        <v>17</v>
      </c>
    </row>
    <row r="22" spans="1:4" x14ac:dyDescent="0.25">
      <c r="A22" s="9">
        <v>21</v>
      </c>
      <c r="B22" t="e">
        <f ca="1">INDEX(LINEST(INDIRECT("furnace"&amp;TEXT(A22,"00")&amp;"["&amp;furnace00[[#Headers],[Actual (°C)]]&amp;"]"),INDIRECT("furnace"&amp;TEXT(A22,"00")&amp;"["&amp;furnace00[[#Headers],[Set (°C)]]&amp;"]")),1,1)</f>
        <v>#REF!</v>
      </c>
      <c r="C22" t="e">
        <f ca="1">INDEX(LINEST(INDIRECT("furnace"&amp;TEXT($A22,"00")&amp;"["&amp;furnace00[[#Headers],[Actual (°C)]]&amp;"]"),INDIRECT("furnace"&amp;TEXT($A22,"00")&amp;"["&amp;furnace00[[#Headers],[Set (°C)]]&amp;"]")),1,2)</f>
        <v>#REF!</v>
      </c>
      <c r="D22" t="s">
        <v>17</v>
      </c>
    </row>
    <row r="23" spans="1:4" x14ac:dyDescent="0.25">
      <c r="A23" s="9">
        <v>22</v>
      </c>
      <c r="B23" t="e">
        <f ca="1">INDEX(LINEST(INDIRECT("furnace"&amp;TEXT(A23,"00")&amp;"["&amp;furnace00[[#Headers],[Actual (°C)]]&amp;"]"),INDIRECT("furnace"&amp;TEXT(A23,"00")&amp;"["&amp;furnace00[[#Headers],[Set (°C)]]&amp;"]")),1,1)</f>
        <v>#REF!</v>
      </c>
      <c r="C23" t="e">
        <f ca="1">INDEX(LINEST(INDIRECT("furnace"&amp;TEXT($A23,"00")&amp;"["&amp;furnace00[[#Headers],[Actual (°C)]]&amp;"]"),INDIRECT("furnace"&amp;TEXT($A23,"00")&amp;"["&amp;furnace00[[#Headers],[Set (°C)]]&amp;"]")),1,2)</f>
        <v>#REF!</v>
      </c>
      <c r="D23" t="s">
        <v>17</v>
      </c>
    </row>
    <row r="24" spans="1:4" x14ac:dyDescent="0.25">
      <c r="A24" s="9">
        <v>23</v>
      </c>
      <c r="B24" t="e">
        <f ca="1">INDEX(LINEST(INDIRECT("furnace"&amp;TEXT(A24,"00")&amp;"["&amp;furnace00[[#Headers],[Actual (°C)]]&amp;"]"),INDIRECT("furnace"&amp;TEXT(A24,"00")&amp;"["&amp;furnace00[[#Headers],[Set (°C)]]&amp;"]")),1,1)</f>
        <v>#REF!</v>
      </c>
      <c r="C24" t="e">
        <f ca="1">INDEX(LINEST(INDIRECT("furnace"&amp;TEXT($A24,"00")&amp;"["&amp;furnace00[[#Headers],[Actual (°C)]]&amp;"]"),INDIRECT("furnace"&amp;TEXT($A24,"00")&amp;"["&amp;furnace00[[#Headers],[Set (°C)]]&amp;"]")),1,2)</f>
        <v>#REF!</v>
      </c>
      <c r="D24" t="s">
        <v>17</v>
      </c>
    </row>
    <row r="25" spans="1:4" x14ac:dyDescent="0.25">
      <c r="A25" s="9">
        <v>24</v>
      </c>
      <c r="B25" t="e">
        <f ca="1">INDEX(LINEST(INDIRECT("furnace"&amp;TEXT(A25,"00")&amp;"["&amp;furnace00[[#Headers],[Actual (°C)]]&amp;"]"),INDIRECT("furnace"&amp;TEXT(A25,"00")&amp;"["&amp;furnace00[[#Headers],[Set (°C)]]&amp;"]")),1,1)</f>
        <v>#REF!</v>
      </c>
      <c r="C25" t="e">
        <f ca="1">INDEX(LINEST(INDIRECT("furnace"&amp;TEXT($A25,"00")&amp;"["&amp;furnace00[[#Headers],[Actual (°C)]]&amp;"]"),INDIRECT("furnace"&amp;TEXT($A25,"00")&amp;"["&amp;furnace00[[#Headers],[Set (°C)]]&amp;"]")),1,2)</f>
        <v>#REF!</v>
      </c>
      <c r="D25" t="s">
        <v>17</v>
      </c>
    </row>
    <row r="26" spans="1:4" x14ac:dyDescent="0.25">
      <c r="A26" s="9">
        <v>25</v>
      </c>
      <c r="B26">
        <f ca="1">INDEX(LINEST(INDIRECT("furnace"&amp;TEXT(A26,"00")&amp;"["&amp;furnace00[[#Headers],[Actual (°C)]]&amp;"]"),INDIRECT("furnace"&amp;TEXT(A26,"00")&amp;"["&amp;furnace00[[#Headers],[Set (°C)]]&amp;"]")),1,1)</f>
        <v>1.0313440197287298</v>
      </c>
      <c r="C26">
        <f ca="1">INDEX(LINEST(INDIRECT("furnace"&amp;TEXT($A26,"00")&amp;"["&amp;furnace00[[#Headers],[Actual (°C)]]&amp;"]"),INDIRECT("furnace"&amp;TEXT($A26,"00")&amp;"["&amp;furnace00[[#Headers],[Set (°C)]]&amp;"]")),1,2)</f>
        <v>-3.694574599260136</v>
      </c>
      <c r="D26" t="s">
        <v>17</v>
      </c>
    </row>
    <row r="27" spans="1:4" x14ac:dyDescent="0.25">
      <c r="A27" s="9">
        <v>26</v>
      </c>
      <c r="B27" t="e">
        <f ca="1">INDEX(LINEST(INDIRECT("furnace"&amp;TEXT(A27,"00")&amp;"["&amp;furnace00[[#Headers],[Actual (°C)]]&amp;"]"),INDIRECT("furnace"&amp;TEXT(A27,"00")&amp;"["&amp;furnace00[[#Headers],[Set (°C)]]&amp;"]")),1,1)</f>
        <v>#REF!</v>
      </c>
      <c r="C27" t="e">
        <f ca="1">INDEX(LINEST(INDIRECT("furnace"&amp;TEXT($A27,"00")&amp;"["&amp;furnace00[[#Headers],[Actual (°C)]]&amp;"]"),INDIRECT("furnace"&amp;TEXT($A27,"00")&amp;"["&amp;furnace00[[#Headers],[Set (°C)]]&amp;"]")),1,2)</f>
        <v>#REF!</v>
      </c>
      <c r="D27" t="s">
        <v>17</v>
      </c>
    </row>
    <row r="28" spans="1:4" x14ac:dyDescent="0.25">
      <c r="A28" s="9">
        <v>27</v>
      </c>
      <c r="B28" t="e">
        <f ca="1">INDEX(LINEST(INDIRECT("furnace"&amp;TEXT(A28,"00")&amp;"["&amp;furnace00[[#Headers],[Actual (°C)]]&amp;"]"),INDIRECT("furnace"&amp;TEXT(A28,"00")&amp;"["&amp;furnace00[[#Headers],[Set (°C)]]&amp;"]")),1,1)</f>
        <v>#REF!</v>
      </c>
      <c r="C28" t="e">
        <f ca="1">INDEX(LINEST(INDIRECT("furnace"&amp;TEXT($A28,"00")&amp;"["&amp;furnace00[[#Headers],[Actual (°C)]]&amp;"]"),INDIRECT("furnace"&amp;TEXT($A28,"00")&amp;"["&amp;furnace00[[#Headers],[Set (°C)]]&amp;"]")),1,2)</f>
        <v>#REF!</v>
      </c>
      <c r="D28" t="s">
        <v>17</v>
      </c>
    </row>
    <row r="29" spans="1:4" x14ac:dyDescent="0.25">
      <c r="A29" s="9">
        <v>28</v>
      </c>
      <c r="B29" t="e">
        <f ca="1">INDEX(LINEST(INDIRECT("furnace"&amp;TEXT(A29,"00")&amp;"["&amp;furnace00[[#Headers],[Actual (°C)]]&amp;"]"),INDIRECT("furnace"&amp;TEXT(A29,"00")&amp;"["&amp;furnace00[[#Headers],[Set (°C)]]&amp;"]")),1,1)</f>
        <v>#REF!</v>
      </c>
      <c r="C29" t="e">
        <f ca="1">INDEX(LINEST(INDIRECT("furnace"&amp;TEXT($A29,"00")&amp;"["&amp;furnace00[[#Headers],[Actual (°C)]]&amp;"]"),INDIRECT("furnace"&amp;TEXT($A29,"00")&amp;"["&amp;furnace00[[#Headers],[Set (°C)]]&amp;"]")),1,2)</f>
        <v>#REF!</v>
      </c>
      <c r="D29" t="s">
        <v>17</v>
      </c>
    </row>
    <row r="30" spans="1:4" x14ac:dyDescent="0.25">
      <c r="A30" s="9">
        <v>29</v>
      </c>
      <c r="B30" t="e">
        <f ca="1">INDEX(LINEST(INDIRECT("furnace"&amp;TEXT(A30,"00")&amp;"["&amp;furnace00[[#Headers],[Actual (°C)]]&amp;"]"),INDIRECT("furnace"&amp;TEXT(A30,"00")&amp;"["&amp;furnace00[[#Headers],[Set (°C)]]&amp;"]")),1,1)</f>
        <v>#REF!</v>
      </c>
      <c r="C30" t="e">
        <f ca="1">INDEX(LINEST(INDIRECT("furnace"&amp;TEXT($A30,"00")&amp;"["&amp;furnace00[[#Headers],[Actual (°C)]]&amp;"]"),INDIRECT("furnace"&amp;TEXT($A30,"00")&amp;"["&amp;furnace00[[#Headers],[Set (°C)]]&amp;"]")),1,2)</f>
        <v>#REF!</v>
      </c>
      <c r="D30" t="s">
        <v>17</v>
      </c>
    </row>
    <row r="31" spans="1:4" x14ac:dyDescent="0.25">
      <c r="A31" s="9">
        <v>30</v>
      </c>
      <c r="B31" t="e">
        <f ca="1">INDEX(LINEST(INDIRECT("furnace"&amp;TEXT(A31,"00")&amp;"["&amp;furnace00[[#Headers],[Actual (°C)]]&amp;"]"),INDIRECT("furnace"&amp;TEXT(A31,"00")&amp;"["&amp;furnace00[[#Headers],[Set (°C)]]&amp;"]")),1,1)</f>
        <v>#REF!</v>
      </c>
      <c r="C31" t="e">
        <f ca="1">INDEX(LINEST(INDIRECT("furnace"&amp;TEXT($A31,"00")&amp;"["&amp;furnace00[[#Headers],[Actual (°C)]]&amp;"]"),INDIRECT("furnace"&amp;TEXT($A31,"00")&amp;"["&amp;furnace00[[#Headers],[Set (°C)]]&amp;"]")),1,2)</f>
        <v>#REF!</v>
      </c>
      <c r="D31" t="s">
        <v>17</v>
      </c>
    </row>
    <row r="32" spans="1:4" x14ac:dyDescent="0.25">
      <c r="A32" s="9">
        <v>31</v>
      </c>
      <c r="B32" t="e">
        <f ca="1">INDEX(LINEST(INDIRECT("furnace"&amp;TEXT(A32,"00")&amp;"["&amp;furnace00[[#Headers],[Actual (°C)]]&amp;"]"),INDIRECT("furnace"&amp;TEXT(A32,"00")&amp;"["&amp;furnace00[[#Headers],[Set (°C)]]&amp;"]")),1,1)</f>
        <v>#REF!</v>
      </c>
      <c r="C32" t="e">
        <f ca="1">INDEX(LINEST(INDIRECT("furnace"&amp;TEXT($A32,"00")&amp;"["&amp;furnace00[[#Headers],[Actual (°C)]]&amp;"]"),INDIRECT("furnace"&amp;TEXT($A32,"00")&amp;"["&amp;furnace00[[#Headers],[Set (°C)]]&amp;"]")),1,2)</f>
        <v>#REF!</v>
      </c>
      <c r="D32" t="s">
        <v>17</v>
      </c>
    </row>
    <row r="33" spans="1:4" x14ac:dyDescent="0.25">
      <c r="A33" s="9">
        <v>32</v>
      </c>
      <c r="B33">
        <f ca="1">INDEX(LINEST(INDIRECT("furnace"&amp;TEXT(A33,"00")&amp;"["&amp;furnace00[[#Headers],[Actual (°C)]]&amp;"]"),INDIRECT("furnace"&amp;TEXT(A33,"00")&amp;"["&amp;furnace00[[#Headers],[Set (°C)]]&amp;"]")),1,1)</f>
        <v>0.9787716535433072</v>
      </c>
      <c r="C33">
        <f ca="1">INDEX(LINEST(INDIRECT("furnace"&amp;TEXT($A33,"00")&amp;"["&amp;furnace00[[#Headers],[Actual (°C)]]&amp;"]"),INDIRECT("furnace"&amp;TEXT($A33,"00")&amp;"["&amp;furnace00[[#Headers],[Set (°C)]]&amp;"]")),1,2)</f>
        <v>3.0974803149606487</v>
      </c>
      <c r="D33" t="s">
        <v>17</v>
      </c>
    </row>
    <row r="34" spans="1:4" x14ac:dyDescent="0.25">
      <c r="A34" s="9">
        <v>33</v>
      </c>
      <c r="B34">
        <f ca="1">INDEX(LINEST(INDIRECT("furnace"&amp;TEXT(A34,"00")&amp;"["&amp;furnace00[[#Headers],[Actual (°C)]]&amp;"]"),INDIRECT("furnace"&amp;TEXT(A34,"00")&amp;"["&amp;furnace00[[#Headers],[Set (°C)]]&amp;"]")),1,1)</f>
        <v>0.99210974106041927</v>
      </c>
      <c r="C34">
        <f ca="1">INDEX(LINEST(INDIRECT("furnace"&amp;TEXT($A34,"00")&amp;"["&amp;furnace00[[#Headers],[Actual (°C)]]&amp;"]"),INDIRECT("furnace"&amp;TEXT($A34,"00")&amp;"["&amp;furnace00[[#Headers],[Set (°C)]]&amp;"]")),1,2)</f>
        <v>0.14545828195650756</v>
      </c>
      <c r="D34" t="s">
        <v>27</v>
      </c>
    </row>
    <row r="35" spans="1:4" x14ac:dyDescent="0.25">
      <c r="A35" s="9">
        <v>34</v>
      </c>
      <c r="B35" t="e">
        <f ca="1">INDEX(LINEST(INDIRECT("furnace"&amp;TEXT(A35,"00")&amp;"["&amp;furnace00[[#Headers],[Actual (°C)]]&amp;"]"),INDIRECT("furnace"&amp;TEXT(A35,"00")&amp;"["&amp;furnace00[[#Headers],[Set (°C)]]&amp;"]")),1,1)</f>
        <v>#REF!</v>
      </c>
      <c r="C35" t="e">
        <f ca="1">INDEX(LINEST(INDIRECT("furnace"&amp;TEXT($A35,"00")&amp;"["&amp;furnace00[[#Headers],[Actual (°C)]]&amp;"]"),INDIRECT("furnace"&amp;TEXT($A35,"00")&amp;"["&amp;furnace00[[#Headers],[Set (°C)]]&amp;"]")),1,2)</f>
        <v>#REF!</v>
      </c>
      <c r="D35" t="s">
        <v>17</v>
      </c>
    </row>
    <row r="36" spans="1:4" x14ac:dyDescent="0.25">
      <c r="A36" s="9">
        <v>35</v>
      </c>
      <c r="B36">
        <f ca="1">INDEX(LINEST(INDIRECT("furnace"&amp;TEXT(A36,"00")&amp;"["&amp;furnace00[[#Headers],[Actual (°C)]]&amp;"]"),INDIRECT("furnace"&amp;TEXT(A36,"00")&amp;"["&amp;furnace00[[#Headers],[Set (°C)]]&amp;"]")),1,1)</f>
        <v>1.03710303030303</v>
      </c>
      <c r="C36">
        <f ca="1">INDEX(LINEST(INDIRECT("furnace"&amp;TEXT($A36,"00")&amp;"["&amp;furnace00[[#Headers],[Actual (°C)]]&amp;"]"),INDIRECT("furnace"&amp;TEXT($A36,"00")&amp;"["&amp;furnace00[[#Headers],[Set (°C)]]&amp;"]")),1,2)</f>
        <v>-5.3466666666664651</v>
      </c>
      <c r="D36" t="s">
        <v>17</v>
      </c>
    </row>
    <row r="37" spans="1:4" x14ac:dyDescent="0.25">
      <c r="A37" s="9">
        <v>36</v>
      </c>
      <c r="B37" t="e">
        <f ca="1">INDEX(LINEST(INDIRECT("furnace"&amp;TEXT(A37,"00")&amp;"["&amp;furnace00[[#Headers],[Actual (°C)]]&amp;"]"),INDIRECT("furnace"&amp;TEXT(A37,"00")&amp;"["&amp;furnace00[[#Headers],[Set (°C)]]&amp;"]")),1,1)</f>
        <v>#REF!</v>
      </c>
      <c r="C37" t="e">
        <f ca="1">INDEX(LINEST(INDIRECT("furnace"&amp;TEXT($A37,"00")&amp;"["&amp;furnace00[[#Headers],[Actual (°C)]]&amp;"]"),INDIRECT("furnace"&amp;TEXT($A37,"00")&amp;"["&amp;furnace00[[#Headers],[Set (°C)]]&amp;"]")),1,2)</f>
        <v>#REF!</v>
      </c>
      <c r="D37" t="s">
        <v>17</v>
      </c>
    </row>
    <row r="38" spans="1:4" x14ac:dyDescent="0.25">
      <c r="A38" s="9">
        <v>37</v>
      </c>
      <c r="B38" t="e">
        <f ca="1">INDEX(LINEST(INDIRECT("furnace"&amp;TEXT(A38,"00")&amp;"["&amp;furnace00[[#Headers],[Actual (°C)]]&amp;"]"),INDIRECT("furnace"&amp;TEXT(A38,"00")&amp;"["&amp;furnace00[[#Headers],[Set (°C)]]&amp;"]")),1,1)</f>
        <v>#REF!</v>
      </c>
      <c r="C38" t="e">
        <f ca="1">INDEX(LINEST(INDIRECT("furnace"&amp;TEXT($A38,"00")&amp;"["&amp;furnace00[[#Headers],[Actual (°C)]]&amp;"]"),INDIRECT("furnace"&amp;TEXT($A38,"00")&amp;"["&amp;furnace00[[#Headers],[Set (°C)]]&amp;"]")),1,2)</f>
        <v>#REF!</v>
      </c>
      <c r="D38" t="s">
        <v>17</v>
      </c>
    </row>
    <row r="39" spans="1:4" x14ac:dyDescent="0.25">
      <c r="A39" s="9">
        <v>38</v>
      </c>
      <c r="B39" t="e">
        <f ca="1">INDEX(LINEST(INDIRECT("furnace"&amp;TEXT(A39,"00")&amp;"["&amp;furnace00[[#Headers],[Actual (°C)]]&amp;"]"),INDIRECT("furnace"&amp;TEXT(A39,"00")&amp;"["&amp;furnace00[[#Headers],[Set (°C)]]&amp;"]")),1,1)</f>
        <v>#REF!</v>
      </c>
      <c r="C39" t="e">
        <f ca="1">INDEX(LINEST(INDIRECT("furnace"&amp;TEXT($A39,"00")&amp;"["&amp;furnace00[[#Headers],[Actual (°C)]]&amp;"]"),INDIRECT("furnace"&amp;TEXT($A39,"00")&amp;"["&amp;furnace00[[#Headers],[Set (°C)]]&amp;"]")),1,2)</f>
        <v>#REF!</v>
      </c>
      <c r="D39" t="s">
        <v>17</v>
      </c>
    </row>
    <row r="40" spans="1:4" x14ac:dyDescent="0.25">
      <c r="A40" s="9">
        <v>39</v>
      </c>
      <c r="B40" t="e">
        <f ca="1">INDEX(LINEST(INDIRECT("furnace"&amp;TEXT(A40,"00")&amp;"["&amp;furnace00[[#Headers],[Actual (°C)]]&amp;"]"),INDIRECT("furnace"&amp;TEXT(A40,"00")&amp;"["&amp;furnace00[[#Headers],[Set (°C)]]&amp;"]")),1,1)</f>
        <v>#REF!</v>
      </c>
      <c r="C40" t="e">
        <f ca="1">INDEX(LINEST(INDIRECT("furnace"&amp;TEXT($A40,"00")&amp;"["&amp;furnace00[[#Headers],[Actual (°C)]]&amp;"]"),INDIRECT("furnace"&amp;TEXT($A40,"00")&amp;"["&amp;furnace00[[#Headers],[Set (°C)]]&amp;"]")),1,2)</f>
        <v>#REF!</v>
      </c>
      <c r="D40" t="s">
        <v>17</v>
      </c>
    </row>
    <row r="41" spans="1:4" x14ac:dyDescent="0.25">
      <c r="A41" s="9">
        <v>40</v>
      </c>
      <c r="B41" t="e">
        <f ca="1">INDEX(LINEST(INDIRECT("furnace"&amp;TEXT(A41,"00")&amp;"["&amp;furnace00[[#Headers],[Actual (°C)]]&amp;"]"),INDIRECT("furnace"&amp;TEXT(A41,"00")&amp;"["&amp;furnace00[[#Headers],[Set (°C)]]&amp;"]")),1,1)</f>
        <v>#REF!</v>
      </c>
      <c r="C41" t="e">
        <f ca="1">INDEX(LINEST(INDIRECT("furnace"&amp;TEXT($A41,"00")&amp;"["&amp;furnace00[[#Headers],[Actual (°C)]]&amp;"]"),INDIRECT("furnace"&amp;TEXT($A41,"00")&amp;"["&amp;furnace00[[#Headers],[Set (°C)]]&amp;"]")),1,2)</f>
        <v>#REF!</v>
      </c>
      <c r="D4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B506-1921-4F78-BDCB-380C63CF5BD5}">
  <sheetPr codeName="Sheet3"/>
  <dimension ref="A1:K16"/>
  <sheetViews>
    <sheetView zoomScaleNormal="100" zoomScaleSheetLayoutView="140" workbookViewId="0">
      <selection activeCell="J1" sqref="J1:J3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11" x14ac:dyDescent="0.25">
      <c r="A1" t="s">
        <v>0</v>
      </c>
      <c r="B1" t="s">
        <v>1</v>
      </c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>
        <v>300</v>
      </c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>
        <v>400</v>
      </c>
      <c r="E3" s="22" t="s">
        <v>25</v>
      </c>
      <c r="F3" s="22"/>
      <c r="G3" s="22"/>
    </row>
    <row r="4" spans="1:11" x14ac:dyDescent="0.25">
      <c r="A4">
        <v>500</v>
      </c>
      <c r="E4" s="22"/>
      <c r="F4" s="22"/>
      <c r="G4" s="22"/>
    </row>
    <row r="5" spans="1:11" x14ac:dyDescent="0.25">
      <c r="A5">
        <v>550</v>
      </c>
    </row>
    <row r="6" spans="1:11" x14ac:dyDescent="0.25">
      <c r="A6">
        <v>600</v>
      </c>
      <c r="E6" s="22" t="s">
        <v>20</v>
      </c>
      <c r="F6" s="22"/>
      <c r="G6" s="22"/>
    </row>
    <row r="7" spans="1:11" x14ac:dyDescent="0.25">
      <c r="A7">
        <v>650</v>
      </c>
      <c r="E7" s="22"/>
      <c r="F7" s="22"/>
      <c r="G7" s="22"/>
    </row>
    <row r="8" spans="1:11" x14ac:dyDescent="0.25">
      <c r="A8">
        <v>700</v>
      </c>
      <c r="E8" s="23"/>
      <c r="F8" s="24"/>
      <c r="G8" s="24"/>
    </row>
    <row r="9" spans="1:11" x14ac:dyDescent="0.25">
      <c r="A9">
        <v>750</v>
      </c>
      <c r="E9" s="24"/>
      <c r="F9" s="24"/>
      <c r="G9" s="24"/>
    </row>
    <row r="10" spans="1:11" x14ac:dyDescent="0.25">
      <c r="A10">
        <v>800</v>
      </c>
    </row>
    <row r="11" spans="1:11" x14ac:dyDescent="0.25">
      <c r="A11">
        <v>850</v>
      </c>
      <c r="E11" s="25" t="e" vm="1">
        <v>#VALUE!</v>
      </c>
      <c r="F11" s="25"/>
      <c r="G11" s="25"/>
    </row>
    <row r="12" spans="1:11" x14ac:dyDescent="0.25">
      <c r="A12">
        <v>900</v>
      </c>
      <c r="E12" s="25"/>
      <c r="F12" s="25"/>
      <c r="G12" s="25"/>
    </row>
    <row r="13" spans="1:11" x14ac:dyDescent="0.25">
      <c r="A13">
        <v>950</v>
      </c>
      <c r="E13" s="25"/>
      <c r="F13" s="25"/>
      <c r="G13" s="25"/>
    </row>
    <row r="14" spans="1:11" x14ac:dyDescent="0.25">
      <c r="A14">
        <v>1000</v>
      </c>
      <c r="E14" s="25"/>
      <c r="F14" s="25"/>
      <c r="G14" s="25"/>
    </row>
    <row r="15" spans="1:11" x14ac:dyDescent="0.25">
      <c r="A15">
        <v>1050</v>
      </c>
      <c r="E15" s="25"/>
      <c r="F15" s="25"/>
      <c r="G15" s="25"/>
    </row>
    <row r="16" spans="1:11" x14ac:dyDescent="0.25">
      <c r="A16">
        <v>1100</v>
      </c>
    </row>
  </sheetData>
  <mergeCells count="4">
    <mergeCell ref="E3:G4"/>
    <mergeCell ref="E6:G7"/>
    <mergeCell ref="E8:G9"/>
    <mergeCell ref="E11:G15"/>
  </mergeCells>
  <pageMargins left="0.7" right="0.7" top="0.75" bottom="0.75" header="0.3" footer="0.3"/>
  <pageSetup fitToWidth="2" fitToHeight="2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6E70-93CF-4B4C-BD5F-E2627BF3F915}">
  <sheetPr codeName="Sheet4"/>
  <dimension ref="A1:K16"/>
  <sheetViews>
    <sheetView tabSelected="1" view="pageBreakPreview" zoomScale="140" zoomScaleNormal="100" zoomScaleSheetLayoutView="140"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11" x14ac:dyDescent="0.25">
      <c r="A1" t="s">
        <v>0</v>
      </c>
      <c r="B1" t="s">
        <v>1</v>
      </c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>
        <v>300</v>
      </c>
      <c r="B2">
        <v>301.39999999999998</v>
      </c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>
        <v>400</v>
      </c>
      <c r="B3">
        <v>410</v>
      </c>
      <c r="E3" s="22" t="s">
        <v>19</v>
      </c>
      <c r="F3" s="22"/>
      <c r="G3" s="22"/>
    </row>
    <row r="4" spans="1:11" x14ac:dyDescent="0.25">
      <c r="A4">
        <v>500</v>
      </c>
      <c r="B4">
        <v>513.9</v>
      </c>
      <c r="E4" s="22"/>
      <c r="F4" s="22"/>
      <c r="G4" s="22"/>
    </row>
    <row r="5" spans="1:11" x14ac:dyDescent="0.25">
      <c r="A5">
        <v>550</v>
      </c>
      <c r="B5">
        <v>566.6</v>
      </c>
    </row>
    <row r="6" spans="1:11" x14ac:dyDescent="0.25">
      <c r="A6">
        <v>600</v>
      </c>
      <c r="B6">
        <v>615.6</v>
      </c>
      <c r="E6" s="22" t="s">
        <v>20</v>
      </c>
      <c r="F6" s="22"/>
      <c r="G6" s="22"/>
    </row>
    <row r="7" spans="1:11" x14ac:dyDescent="0.25">
      <c r="A7">
        <v>650</v>
      </c>
      <c r="B7">
        <v>667.1</v>
      </c>
      <c r="E7" s="22"/>
      <c r="F7" s="22"/>
      <c r="G7" s="22"/>
    </row>
    <row r="8" spans="1:11" x14ac:dyDescent="0.25">
      <c r="A8">
        <v>700</v>
      </c>
      <c r="B8">
        <v>718.3</v>
      </c>
      <c r="E8" s="23">
        <v>45183</v>
      </c>
      <c r="F8" s="24"/>
      <c r="G8" s="24"/>
    </row>
    <row r="9" spans="1:11" x14ac:dyDescent="0.25">
      <c r="A9">
        <v>750</v>
      </c>
      <c r="B9">
        <v>770.8</v>
      </c>
      <c r="E9" s="24"/>
      <c r="F9" s="24"/>
      <c r="G9" s="24"/>
    </row>
    <row r="10" spans="1:11" x14ac:dyDescent="0.25">
      <c r="A10">
        <v>800</v>
      </c>
      <c r="B10">
        <v>820.7</v>
      </c>
    </row>
    <row r="11" spans="1:11" x14ac:dyDescent="0.25">
      <c r="A11">
        <v>850</v>
      </c>
      <c r="B11">
        <v>872.2</v>
      </c>
      <c r="E11" s="25" t="e" vm="1">
        <v>#VALUE!</v>
      </c>
      <c r="F11" s="25"/>
      <c r="G11" s="25"/>
    </row>
    <row r="12" spans="1:11" x14ac:dyDescent="0.25">
      <c r="A12">
        <v>900</v>
      </c>
      <c r="B12">
        <v>923.2</v>
      </c>
      <c r="E12" s="25"/>
      <c r="F12" s="25"/>
      <c r="G12" s="25"/>
    </row>
    <row r="13" spans="1:11" x14ac:dyDescent="0.25">
      <c r="A13">
        <v>950</v>
      </c>
      <c r="B13">
        <v>975.2</v>
      </c>
      <c r="E13" s="25"/>
      <c r="F13" s="25"/>
      <c r="G13" s="25"/>
    </row>
    <row r="14" spans="1:11" x14ac:dyDescent="0.25">
      <c r="A14">
        <v>1000</v>
      </c>
      <c r="B14">
        <v>1025.5999999999999</v>
      </c>
      <c r="E14" s="25"/>
      <c r="F14" s="25"/>
      <c r="G14" s="25"/>
    </row>
    <row r="15" spans="1:11" x14ac:dyDescent="0.25">
      <c r="A15">
        <v>1050</v>
      </c>
      <c r="B15">
        <v>1079.0999999999999</v>
      </c>
      <c r="E15" s="25"/>
      <c r="F15" s="25"/>
      <c r="G15" s="25"/>
    </row>
    <row r="16" spans="1:11" x14ac:dyDescent="0.25">
      <c r="A16">
        <v>1100</v>
      </c>
      <c r="B16">
        <v>1132.8</v>
      </c>
    </row>
  </sheetData>
  <mergeCells count="4">
    <mergeCell ref="E6:G7"/>
    <mergeCell ref="E8:G9"/>
    <mergeCell ref="E11:G15"/>
    <mergeCell ref="E3:G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D460-174C-4E4E-B759-6ADD0872FA32}">
  <sheetPr codeName="Sheet5"/>
  <dimension ref="A1:K16"/>
  <sheetViews>
    <sheetView view="pageBreakPreview" topLeftCell="A10" zoomScale="140" zoomScaleNormal="100" zoomScaleSheetLayoutView="140" workbookViewId="0">
      <selection activeCell="E10" sqref="E10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11" x14ac:dyDescent="0.25">
      <c r="A1" t="s">
        <v>0</v>
      </c>
      <c r="B1" t="s">
        <v>1</v>
      </c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>
        <v>100</v>
      </c>
      <c r="B2">
        <v>102.5</v>
      </c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>
        <v>200</v>
      </c>
      <c r="B3">
        <v>202</v>
      </c>
      <c r="E3" s="22" t="s">
        <v>21</v>
      </c>
      <c r="F3" s="22"/>
      <c r="G3" s="22"/>
    </row>
    <row r="4" spans="1:11" x14ac:dyDescent="0.25">
      <c r="A4">
        <v>300</v>
      </c>
      <c r="B4">
        <v>299.39999999999998</v>
      </c>
      <c r="E4" s="22"/>
      <c r="F4" s="22"/>
      <c r="G4" s="22"/>
    </row>
    <row r="5" spans="1:11" x14ac:dyDescent="0.25">
      <c r="A5">
        <v>400</v>
      </c>
      <c r="B5">
        <v>392</v>
      </c>
    </row>
    <row r="6" spans="1:11" x14ac:dyDescent="0.25">
      <c r="A6">
        <v>500</v>
      </c>
      <c r="B6">
        <v>485</v>
      </c>
      <c r="E6" s="22" t="s">
        <v>20</v>
      </c>
      <c r="F6" s="22"/>
      <c r="G6" s="22"/>
    </row>
    <row r="7" spans="1:11" x14ac:dyDescent="0.25">
      <c r="A7">
        <v>550</v>
      </c>
      <c r="B7">
        <v>540.70000000000005</v>
      </c>
      <c r="E7" s="22"/>
      <c r="F7" s="22"/>
      <c r="G7" s="22"/>
    </row>
    <row r="8" spans="1:11" x14ac:dyDescent="0.25">
      <c r="A8">
        <v>600</v>
      </c>
      <c r="B8">
        <v>589</v>
      </c>
      <c r="E8" s="23">
        <v>45170</v>
      </c>
      <c r="F8" s="24"/>
      <c r="G8" s="24"/>
    </row>
    <row r="9" spans="1:11" x14ac:dyDescent="0.25">
      <c r="A9">
        <v>650</v>
      </c>
      <c r="B9">
        <v>639.79999999999995</v>
      </c>
      <c r="E9" s="24"/>
      <c r="F9" s="24"/>
      <c r="G9" s="24"/>
    </row>
    <row r="10" spans="1:11" x14ac:dyDescent="0.25">
      <c r="A10">
        <v>700</v>
      </c>
      <c r="B10">
        <v>690</v>
      </c>
    </row>
    <row r="11" spans="1:11" x14ac:dyDescent="0.25">
      <c r="A11">
        <v>750</v>
      </c>
      <c r="B11">
        <v>737.9</v>
      </c>
      <c r="E11" s="25" t="e" vm="1">
        <v>#VALUE!</v>
      </c>
      <c r="F11" s="25"/>
      <c r="G11" s="25"/>
    </row>
    <row r="12" spans="1:11" x14ac:dyDescent="0.25">
      <c r="A12">
        <v>800</v>
      </c>
      <c r="B12">
        <v>785.7</v>
      </c>
      <c r="E12" s="25"/>
      <c r="F12" s="25"/>
      <c r="G12" s="25"/>
    </row>
    <row r="13" spans="1:11" x14ac:dyDescent="0.25">
      <c r="A13">
        <v>850</v>
      </c>
      <c r="B13">
        <v>831.6</v>
      </c>
      <c r="E13" s="25"/>
      <c r="F13" s="25"/>
      <c r="G13" s="25"/>
    </row>
    <row r="14" spans="1:11" x14ac:dyDescent="0.25">
      <c r="A14">
        <v>900</v>
      </c>
      <c r="B14">
        <v>884.8</v>
      </c>
      <c r="E14" s="25"/>
      <c r="F14" s="25"/>
      <c r="G14" s="25"/>
    </row>
    <row r="15" spans="1:11" x14ac:dyDescent="0.25">
      <c r="A15">
        <v>950</v>
      </c>
      <c r="B15">
        <v>933.9</v>
      </c>
      <c r="E15" s="25"/>
      <c r="F15" s="25"/>
      <c r="G15" s="25"/>
    </row>
    <row r="16" spans="1:11" x14ac:dyDescent="0.25">
      <c r="A16">
        <v>1000</v>
      </c>
      <c r="B16">
        <v>985.8</v>
      </c>
    </row>
  </sheetData>
  <mergeCells count="4">
    <mergeCell ref="E3:G4"/>
    <mergeCell ref="E6:G7"/>
    <mergeCell ref="E8:G9"/>
    <mergeCell ref="E11:G1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B4F9-B412-4355-B1B5-47405E7A0FC5}">
  <sheetPr codeName="Sheet6"/>
  <dimension ref="A1:K15"/>
  <sheetViews>
    <sheetView view="pageBreakPreview" topLeftCell="A22" zoomScale="140" zoomScaleNormal="100" zoomScaleSheetLayoutView="140"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11" x14ac:dyDescent="0.25">
      <c r="A1" t="s">
        <v>0</v>
      </c>
      <c r="B1" t="s">
        <v>1</v>
      </c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>
        <v>100</v>
      </c>
      <c r="B2">
        <v>101.1</v>
      </c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>
        <v>200</v>
      </c>
      <c r="B3">
        <v>200.9</v>
      </c>
      <c r="E3" s="22" t="s">
        <v>22</v>
      </c>
      <c r="F3" s="22"/>
      <c r="G3" s="22"/>
    </row>
    <row r="4" spans="1:11" x14ac:dyDescent="0.25">
      <c r="A4">
        <v>300</v>
      </c>
      <c r="B4">
        <v>303.5</v>
      </c>
      <c r="E4" s="22"/>
      <c r="F4" s="22"/>
      <c r="G4" s="22"/>
    </row>
    <row r="5" spans="1:11" x14ac:dyDescent="0.25">
      <c r="A5">
        <v>400</v>
      </c>
      <c r="B5">
        <v>408</v>
      </c>
    </row>
    <row r="6" spans="1:11" x14ac:dyDescent="0.25">
      <c r="A6">
        <v>500</v>
      </c>
      <c r="B6">
        <v>512.29999999999995</v>
      </c>
      <c r="E6" s="22" t="s">
        <v>20</v>
      </c>
      <c r="F6" s="22"/>
      <c r="G6" s="22"/>
    </row>
    <row r="7" spans="1:11" x14ac:dyDescent="0.25">
      <c r="A7">
        <v>600</v>
      </c>
      <c r="B7">
        <v>618</v>
      </c>
      <c r="E7" s="22"/>
      <c r="F7" s="22"/>
      <c r="G7" s="22"/>
    </row>
    <row r="8" spans="1:11" x14ac:dyDescent="0.25">
      <c r="A8">
        <v>700</v>
      </c>
      <c r="B8">
        <v>722.3</v>
      </c>
      <c r="E8" s="23">
        <v>45183</v>
      </c>
      <c r="F8" s="24"/>
      <c r="G8" s="24"/>
    </row>
    <row r="9" spans="1:11" x14ac:dyDescent="0.25">
      <c r="A9">
        <v>800</v>
      </c>
      <c r="B9">
        <v>826</v>
      </c>
      <c r="E9" s="24"/>
      <c r="F9" s="24"/>
      <c r="G9" s="24"/>
    </row>
    <row r="10" spans="1:11" x14ac:dyDescent="0.25">
      <c r="A10">
        <v>900</v>
      </c>
      <c r="B10">
        <v>929.6</v>
      </c>
    </row>
    <row r="11" spans="1:11" x14ac:dyDescent="0.25">
      <c r="A11">
        <v>1000</v>
      </c>
      <c r="B11">
        <v>1028.9000000000001</v>
      </c>
      <c r="E11" s="25" t="e" vm="1">
        <v>#VALUE!</v>
      </c>
      <c r="F11" s="25"/>
      <c r="G11" s="25"/>
    </row>
    <row r="12" spans="1:11" x14ac:dyDescent="0.25">
      <c r="E12" s="25"/>
      <c r="F12" s="25"/>
      <c r="G12" s="25"/>
    </row>
    <row r="13" spans="1:11" x14ac:dyDescent="0.25">
      <c r="E13" s="25"/>
      <c r="F13" s="25"/>
      <c r="G13" s="25"/>
    </row>
    <row r="14" spans="1:11" x14ac:dyDescent="0.25">
      <c r="E14" s="25"/>
      <c r="F14" s="25"/>
      <c r="G14" s="25"/>
    </row>
    <row r="15" spans="1:11" x14ac:dyDescent="0.25">
      <c r="E15" s="25"/>
      <c r="F15" s="25"/>
      <c r="G15" s="25"/>
    </row>
  </sheetData>
  <mergeCells count="4">
    <mergeCell ref="E3:G4"/>
    <mergeCell ref="E6:G7"/>
    <mergeCell ref="E8:G9"/>
    <mergeCell ref="E11:G1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5AB9-27BB-4EB8-A5EB-16AE9A1E12E5}">
  <sheetPr codeName="Sheet7"/>
  <dimension ref="A1:K16"/>
  <sheetViews>
    <sheetView view="pageBreakPreview" zoomScale="140" zoomScaleNormal="100" zoomScaleSheetLayoutView="140"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11" x14ac:dyDescent="0.25">
      <c r="A1" t="s">
        <v>0</v>
      </c>
      <c r="B1" t="s">
        <v>1</v>
      </c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>
        <v>300</v>
      </c>
      <c r="B2">
        <v>298.8</v>
      </c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>
        <v>400</v>
      </c>
      <c r="B3">
        <v>398.3</v>
      </c>
      <c r="E3" s="22" t="s">
        <v>26</v>
      </c>
      <c r="F3" s="22"/>
      <c r="G3" s="22"/>
    </row>
    <row r="4" spans="1:11" x14ac:dyDescent="0.25">
      <c r="A4">
        <v>500</v>
      </c>
      <c r="B4">
        <v>498</v>
      </c>
      <c r="E4" s="22"/>
      <c r="F4" s="22"/>
      <c r="G4" s="22"/>
    </row>
    <row r="5" spans="1:11" x14ac:dyDescent="0.25">
      <c r="A5">
        <v>550</v>
      </c>
      <c r="B5">
        <v>547</v>
      </c>
    </row>
    <row r="6" spans="1:11" x14ac:dyDescent="0.25">
      <c r="A6">
        <v>600</v>
      </c>
      <c r="B6">
        <v>596.1</v>
      </c>
      <c r="E6" s="22" t="s">
        <v>20</v>
      </c>
      <c r="F6" s="22"/>
      <c r="G6" s="22"/>
    </row>
    <row r="7" spans="1:11" x14ac:dyDescent="0.25">
      <c r="A7">
        <v>650</v>
      </c>
      <c r="B7">
        <v>644.9</v>
      </c>
      <c r="E7" s="22"/>
      <c r="F7" s="22"/>
      <c r="G7" s="22"/>
    </row>
    <row r="8" spans="1:11" x14ac:dyDescent="0.25">
      <c r="A8">
        <v>700</v>
      </c>
      <c r="B8">
        <v>693</v>
      </c>
      <c r="E8" s="23">
        <v>45903</v>
      </c>
      <c r="F8" s="24"/>
      <c r="G8" s="24"/>
    </row>
    <row r="9" spans="1:11" x14ac:dyDescent="0.25">
      <c r="A9">
        <v>750</v>
      </c>
      <c r="B9">
        <v>740.6</v>
      </c>
      <c r="E9" s="24"/>
      <c r="F9" s="24"/>
      <c r="G9" s="24"/>
    </row>
    <row r="10" spans="1:11" x14ac:dyDescent="0.25">
      <c r="A10">
        <v>800</v>
      </c>
      <c r="B10">
        <v>790.3</v>
      </c>
    </row>
    <row r="11" spans="1:11" x14ac:dyDescent="0.25">
      <c r="A11">
        <v>850</v>
      </c>
      <c r="B11">
        <v>839.7</v>
      </c>
      <c r="E11" s="25" t="e" vm="1">
        <v>#VALUE!</v>
      </c>
      <c r="F11" s="25"/>
      <c r="G11" s="25"/>
    </row>
    <row r="12" spans="1:11" x14ac:dyDescent="0.25">
      <c r="A12">
        <v>900</v>
      </c>
      <c r="B12">
        <v>889.4</v>
      </c>
      <c r="E12" s="25"/>
      <c r="F12" s="25"/>
      <c r="G12" s="25"/>
    </row>
    <row r="13" spans="1:11" x14ac:dyDescent="0.25">
      <c r="A13">
        <v>950</v>
      </c>
      <c r="B13">
        <v>945.6</v>
      </c>
      <c r="E13" s="25"/>
      <c r="F13" s="25"/>
      <c r="G13" s="25"/>
    </row>
    <row r="14" spans="1:11" x14ac:dyDescent="0.25">
      <c r="A14">
        <v>1000</v>
      </c>
      <c r="B14">
        <v>995.5</v>
      </c>
      <c r="E14" s="25"/>
      <c r="F14" s="25"/>
      <c r="G14" s="25"/>
    </row>
    <row r="15" spans="1:11" x14ac:dyDescent="0.25">
      <c r="A15">
        <v>1050</v>
      </c>
      <c r="B15">
        <v>1044.0999999999999</v>
      </c>
      <c r="E15" s="25"/>
      <c r="F15" s="25"/>
      <c r="G15" s="25"/>
    </row>
    <row r="16" spans="1:11" x14ac:dyDescent="0.25">
      <c r="A16">
        <v>1100</v>
      </c>
      <c r="B16">
        <v>1093.3</v>
      </c>
    </row>
  </sheetData>
  <mergeCells count="4">
    <mergeCell ref="E3:G4"/>
    <mergeCell ref="E6:G7"/>
    <mergeCell ref="E8:G9"/>
    <mergeCell ref="E11:G15"/>
  </mergeCells>
  <pageMargins left="0.7" right="0.7" top="0.75" bottom="0.75" header="0.3" footer="0.3"/>
  <pageSetup fitToWidth="2" fitToHeight="2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2235-9947-4BE1-81AA-4C8B6A97B0D8}">
  <sheetPr codeName="Sheet8"/>
  <dimension ref="A1:K18"/>
  <sheetViews>
    <sheetView topLeftCell="A16" zoomScaleNormal="100" zoomScaleSheetLayoutView="140" workbookViewId="0">
      <selection activeCell="B19" sqref="B19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11" x14ac:dyDescent="0.25">
      <c r="A1" t="s">
        <v>0</v>
      </c>
      <c r="B1" t="s">
        <v>1</v>
      </c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>
        <v>300</v>
      </c>
      <c r="B2">
        <v>310.7</v>
      </c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>
        <v>350</v>
      </c>
      <c r="B3">
        <v>359.8</v>
      </c>
      <c r="E3" s="22" t="s">
        <v>33</v>
      </c>
      <c r="F3" s="22"/>
      <c r="G3" s="22"/>
    </row>
    <row r="4" spans="1:11" x14ac:dyDescent="0.25">
      <c r="A4">
        <v>400</v>
      </c>
      <c r="B4">
        <v>408.3</v>
      </c>
      <c r="E4" s="22"/>
      <c r="F4" s="22"/>
      <c r="G4" s="22"/>
    </row>
    <row r="5" spans="1:11" x14ac:dyDescent="0.25">
      <c r="A5">
        <v>450</v>
      </c>
      <c r="B5">
        <v>458</v>
      </c>
    </row>
    <row r="6" spans="1:11" x14ac:dyDescent="0.25">
      <c r="A6">
        <v>500</v>
      </c>
      <c r="B6">
        <v>508.5</v>
      </c>
      <c r="E6" s="22" t="s">
        <v>20</v>
      </c>
      <c r="F6" s="22"/>
      <c r="G6" s="22"/>
    </row>
    <row r="7" spans="1:11" x14ac:dyDescent="0.25">
      <c r="A7">
        <v>550</v>
      </c>
      <c r="B7">
        <v>558.29999999999995</v>
      </c>
      <c r="E7" s="22"/>
      <c r="F7" s="22"/>
      <c r="G7" s="22"/>
    </row>
    <row r="8" spans="1:11" x14ac:dyDescent="0.25">
      <c r="A8">
        <v>600</v>
      </c>
      <c r="B8">
        <v>609.1</v>
      </c>
      <c r="E8" s="23">
        <v>45877</v>
      </c>
      <c r="F8" s="24"/>
      <c r="G8" s="24"/>
    </row>
    <row r="9" spans="1:11" x14ac:dyDescent="0.25">
      <c r="A9">
        <v>650</v>
      </c>
      <c r="B9">
        <v>661.9</v>
      </c>
      <c r="E9" s="24"/>
      <c r="F9" s="24"/>
      <c r="G9" s="24"/>
    </row>
    <row r="10" spans="1:11" x14ac:dyDescent="0.25">
      <c r="A10">
        <v>700</v>
      </c>
      <c r="B10">
        <v>710.6</v>
      </c>
    </row>
    <row r="11" spans="1:11" x14ac:dyDescent="0.25">
      <c r="A11">
        <v>750</v>
      </c>
      <c r="B11">
        <v>760.9</v>
      </c>
      <c r="E11" s="25" t="e" vm="1">
        <v>#VALUE!</v>
      </c>
      <c r="F11" s="25"/>
      <c r="G11" s="25"/>
    </row>
    <row r="12" spans="1:11" x14ac:dyDescent="0.25">
      <c r="A12">
        <v>800</v>
      </c>
      <c r="B12">
        <v>807.9</v>
      </c>
      <c r="E12" s="25"/>
      <c r="F12" s="25"/>
      <c r="G12" s="25"/>
    </row>
    <row r="13" spans="1:11" x14ac:dyDescent="0.25">
      <c r="A13">
        <v>850</v>
      </c>
      <c r="B13">
        <v>859.3</v>
      </c>
      <c r="E13" s="25"/>
      <c r="F13" s="25"/>
      <c r="G13" s="25"/>
    </row>
    <row r="14" spans="1:11" x14ac:dyDescent="0.25">
      <c r="A14">
        <v>900</v>
      </c>
      <c r="B14">
        <v>911</v>
      </c>
      <c r="E14" s="25"/>
      <c r="F14" s="25"/>
      <c r="G14" s="25"/>
    </row>
    <row r="15" spans="1:11" x14ac:dyDescent="0.25">
      <c r="A15">
        <v>950</v>
      </c>
      <c r="B15">
        <v>962.7</v>
      </c>
      <c r="E15" s="25"/>
      <c r="F15" s="25"/>
      <c r="G15" s="25"/>
    </row>
    <row r="16" spans="1:11" x14ac:dyDescent="0.25">
      <c r="A16">
        <v>1000</v>
      </c>
      <c r="B16">
        <v>1013.1</v>
      </c>
    </row>
    <row r="17" spans="1:2" x14ac:dyDescent="0.25">
      <c r="A17">
        <v>1050</v>
      </c>
      <c r="B17">
        <v>1054.3</v>
      </c>
    </row>
    <row r="18" spans="1:2" x14ac:dyDescent="0.25">
      <c r="A18">
        <v>1100</v>
      </c>
      <c r="B18">
        <v>1115.4000000000001</v>
      </c>
    </row>
  </sheetData>
  <mergeCells count="4">
    <mergeCell ref="E3:G4"/>
    <mergeCell ref="E6:G7"/>
    <mergeCell ref="E8:G9"/>
    <mergeCell ref="E11:G15"/>
  </mergeCells>
  <pageMargins left="0.7" right="0.7" top="0.75" bottom="0.75" header="0.3" footer="0.3"/>
  <pageSetup fitToWidth="2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Calculate</vt:lpstr>
      <vt:lpstr>Interpolation</vt:lpstr>
      <vt:lpstr>Template</vt:lpstr>
      <vt:lpstr>25</vt:lpstr>
      <vt:lpstr>32</vt:lpstr>
      <vt:lpstr>35</vt:lpstr>
      <vt:lpstr>33</vt:lpstr>
      <vt:lpstr>20</vt:lpstr>
      <vt:lpstr>'20'!actHead</vt:lpstr>
      <vt:lpstr>actHead</vt:lpstr>
      <vt:lpstr>intercept</vt:lpstr>
      <vt:lpstr>'20'!Print_Area</vt:lpstr>
      <vt:lpstr>Template!Print_Area</vt:lpstr>
      <vt:lpstr>'20'!setHead</vt:lpstr>
      <vt:lpstr>setHead</vt:lpstr>
      <vt:lpstr>slope</vt:lpstr>
      <vt:lpstr>useEq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Errthum</dc:creator>
  <cp:lastModifiedBy>Errthum, Travis A</cp:lastModifiedBy>
  <cp:lastPrinted>2026-01-16T20:47:56Z</cp:lastPrinted>
  <dcterms:created xsi:type="dcterms:W3CDTF">2015-06-05T18:17:20Z</dcterms:created>
  <dcterms:modified xsi:type="dcterms:W3CDTF">2026-04-27T16:41:42Z</dcterms:modified>
</cp:coreProperties>
</file>